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bookViews>
    <workbookView xWindow="0" yWindow="0" windowWidth="20633" windowHeight="7286" activeTab="3"/>
  </bookViews>
  <sheets>
    <sheet name="Cierre" sheetId="2" r:id="rId1"/>
    <sheet name="Conteo" sheetId="1" r:id="rId2"/>
    <sheet name="Hoja3" sheetId="3" r:id="rId3"/>
    <sheet name="1" sheetId="4" r:id="rId4"/>
    <sheet name="1 (2)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0" i="5" l="1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B84" i="5"/>
  <c r="A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6" i="5"/>
  <c r="E65" i="5"/>
  <c r="E99" i="5" s="1"/>
  <c r="E64" i="5"/>
  <c r="E63" i="5"/>
  <c r="E62" i="5"/>
  <c r="E61" i="5"/>
  <c r="E95" i="5" s="1"/>
  <c r="E60" i="5"/>
  <c r="E59" i="5"/>
  <c r="E58" i="5"/>
  <c r="E57" i="5"/>
  <c r="E91" i="5" s="1"/>
  <c r="E56" i="5"/>
  <c r="E55" i="5"/>
  <c r="E54" i="5"/>
  <c r="E53" i="5"/>
  <c r="E87" i="5" s="1"/>
  <c r="E52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4" i="5"/>
  <c r="E33" i="5"/>
  <c r="E32" i="5"/>
  <c r="E98" i="5" s="1"/>
  <c r="E31" i="5"/>
  <c r="E30" i="5"/>
  <c r="E29" i="5"/>
  <c r="E28" i="5"/>
  <c r="E94" i="5" s="1"/>
  <c r="E27" i="5"/>
  <c r="E26" i="5"/>
  <c r="E25" i="5"/>
  <c r="E24" i="5"/>
  <c r="E90" i="5" s="1"/>
  <c r="E23" i="5"/>
  <c r="E22" i="5"/>
  <c r="E21" i="5"/>
  <c r="E20" i="5"/>
  <c r="E86" i="5" s="1"/>
  <c r="E18" i="5"/>
  <c r="E100" i="5" s="1"/>
  <c r="E17" i="5"/>
  <c r="E16" i="5"/>
  <c r="E15" i="5"/>
  <c r="E97" i="5" s="1"/>
  <c r="E14" i="5"/>
  <c r="E96" i="5" s="1"/>
  <c r="E13" i="5"/>
  <c r="E12" i="5"/>
  <c r="E11" i="5"/>
  <c r="E93" i="5" s="1"/>
  <c r="E10" i="5"/>
  <c r="E92" i="5" s="1"/>
  <c r="E9" i="5"/>
  <c r="E8" i="5"/>
  <c r="E7" i="5"/>
  <c r="E89" i="5" s="1"/>
  <c r="E6" i="5"/>
  <c r="E88" i="5" s="1"/>
  <c r="E5" i="5"/>
  <c r="E4" i="5"/>
  <c r="G109" i="4" l="1"/>
  <c r="E109" i="4"/>
  <c r="F109" i="4" s="1"/>
  <c r="D109" i="4"/>
  <c r="C109" i="4"/>
  <c r="M108" i="4"/>
  <c r="G108" i="4"/>
  <c r="E108" i="4"/>
  <c r="D108" i="4"/>
  <c r="C108" i="4"/>
  <c r="F108" i="4" s="1"/>
  <c r="G107" i="4"/>
  <c r="E107" i="4"/>
  <c r="D107" i="4"/>
  <c r="F107" i="4" s="1"/>
  <c r="C107" i="4"/>
  <c r="G106" i="4"/>
  <c r="E106" i="4"/>
  <c r="F106" i="4" s="1"/>
  <c r="D106" i="4"/>
  <c r="C106" i="4"/>
  <c r="G105" i="4"/>
  <c r="G110" i="4" s="1"/>
  <c r="F105" i="4"/>
  <c r="E105" i="4"/>
  <c r="D105" i="4"/>
  <c r="C105" i="4"/>
  <c r="G104" i="4"/>
  <c r="E104" i="4"/>
  <c r="D104" i="4"/>
  <c r="C104" i="4"/>
  <c r="F104" i="4" s="1"/>
  <c r="G103" i="4"/>
  <c r="E103" i="4"/>
  <c r="D103" i="4"/>
  <c r="F103" i="4" s="1"/>
  <c r="C103" i="4"/>
  <c r="G102" i="4"/>
  <c r="E102" i="4"/>
  <c r="F102" i="4" s="1"/>
  <c r="D102" i="4"/>
  <c r="C102" i="4"/>
  <c r="G101" i="4"/>
  <c r="F101" i="4"/>
  <c r="E101" i="4"/>
  <c r="D101" i="4"/>
  <c r="C101" i="4"/>
  <c r="G100" i="4"/>
  <c r="E100" i="4"/>
  <c r="D100" i="4"/>
  <c r="C100" i="4"/>
  <c r="F100" i="4" s="1"/>
  <c r="G99" i="4"/>
  <c r="E99" i="4"/>
  <c r="D99" i="4"/>
  <c r="C99" i="4"/>
  <c r="F99" i="4" s="1"/>
  <c r="G98" i="4"/>
  <c r="E98" i="4"/>
  <c r="F98" i="4" s="1"/>
  <c r="D98" i="4"/>
  <c r="C98" i="4"/>
  <c r="G97" i="4"/>
  <c r="F97" i="4"/>
  <c r="E97" i="4"/>
  <c r="D97" i="4"/>
  <c r="C97" i="4"/>
  <c r="G96" i="4"/>
  <c r="E96" i="4"/>
  <c r="D96" i="4"/>
  <c r="C96" i="4"/>
  <c r="F96" i="4" s="1"/>
  <c r="G95" i="4"/>
  <c r="E95" i="4"/>
  <c r="D95" i="4"/>
  <c r="C95" i="4"/>
  <c r="F95" i="4" s="1"/>
  <c r="G94" i="4"/>
  <c r="E94" i="4"/>
  <c r="F94" i="4" s="1"/>
  <c r="D94" i="4"/>
  <c r="C94" i="4"/>
  <c r="G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G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G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G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G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B23" i="2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V83" i="1" s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V82" i="1" s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V81" i="1" s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V80" i="1" s="1"/>
  <c r="U78" i="1"/>
  <c r="T78" i="1"/>
  <c r="G27" i="1" s="1"/>
  <c r="H27" i="1" s="1"/>
  <c r="I27" i="1" s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V78" i="1" s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V77" i="1" s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V76" i="1" s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V75" i="1" s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V74" i="1" s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V73" i="1" s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V72" i="1" s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V70" i="1" s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V69" i="1" s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V68" i="1" s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V67" i="1" s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V66" i="1" s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V65" i="1" s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V64" i="1" s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V63" i="1" s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V62" i="1" s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V61" i="1" s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V60" i="1" s="1"/>
  <c r="U59" i="1"/>
  <c r="U71" i="1" s="1"/>
  <c r="U79" i="1" s="1"/>
  <c r="G28" i="1" s="1"/>
  <c r="H28" i="1" s="1"/>
  <c r="I28" i="1" s="1"/>
  <c r="T59" i="1"/>
  <c r="T71" i="1" s="1"/>
  <c r="T79" i="1" s="1"/>
  <c r="S59" i="1"/>
  <c r="S71" i="1" s="1"/>
  <c r="S79" i="1" s="1"/>
  <c r="R59" i="1"/>
  <c r="R71" i="1" s="1"/>
  <c r="R79" i="1" s="1"/>
  <c r="G25" i="1" s="1"/>
  <c r="H25" i="1" s="1"/>
  <c r="I25" i="1" s="1"/>
  <c r="Q59" i="1"/>
  <c r="Q71" i="1" s="1"/>
  <c r="Q79" i="1" s="1"/>
  <c r="G24" i="1" s="1"/>
  <c r="H24" i="1" s="1"/>
  <c r="I24" i="1" s="1"/>
  <c r="P59" i="1"/>
  <c r="P71" i="1" s="1"/>
  <c r="P79" i="1" s="1"/>
  <c r="G23" i="1" s="1"/>
  <c r="H23" i="1" s="1"/>
  <c r="I23" i="1" s="1"/>
  <c r="O59" i="1"/>
  <c r="O71" i="1" s="1"/>
  <c r="O79" i="1" s="1"/>
  <c r="G22" i="1" s="1"/>
  <c r="H22" i="1" s="1"/>
  <c r="I22" i="1" s="1"/>
  <c r="N59" i="1"/>
  <c r="N71" i="1" s="1"/>
  <c r="N79" i="1" s="1"/>
  <c r="G21" i="1" s="1"/>
  <c r="H21" i="1" s="1"/>
  <c r="I21" i="1" s="1"/>
  <c r="M59" i="1"/>
  <c r="M71" i="1" s="1"/>
  <c r="M79" i="1" s="1"/>
  <c r="G20" i="1" s="1"/>
  <c r="H20" i="1" s="1"/>
  <c r="I20" i="1" s="1"/>
  <c r="L59" i="1"/>
  <c r="L71" i="1" s="1"/>
  <c r="L79" i="1" s="1"/>
  <c r="G19" i="1" s="1"/>
  <c r="H19" i="1" s="1"/>
  <c r="I19" i="1" s="1"/>
  <c r="K59" i="1"/>
  <c r="K71" i="1" s="1"/>
  <c r="K79" i="1" s="1"/>
  <c r="G18" i="1" s="1"/>
  <c r="H18" i="1" s="1"/>
  <c r="I18" i="1" s="1"/>
  <c r="J59" i="1"/>
  <c r="J71" i="1" s="1"/>
  <c r="J79" i="1" s="1"/>
  <c r="G17" i="1" s="1"/>
  <c r="H17" i="1" s="1"/>
  <c r="I17" i="1" s="1"/>
  <c r="I59" i="1"/>
  <c r="I71" i="1" s="1"/>
  <c r="I79" i="1" s="1"/>
  <c r="G16" i="1" s="1"/>
  <c r="H16" i="1" s="1"/>
  <c r="I16" i="1" s="1"/>
  <c r="H59" i="1"/>
  <c r="H71" i="1" s="1"/>
  <c r="H79" i="1" s="1"/>
  <c r="G15" i="1" s="1"/>
  <c r="H15" i="1" s="1"/>
  <c r="I15" i="1" s="1"/>
  <c r="G59" i="1"/>
  <c r="G71" i="1" s="1"/>
  <c r="G79" i="1" s="1"/>
  <c r="G14" i="1" s="1"/>
  <c r="H14" i="1" s="1"/>
  <c r="I14" i="1" s="1"/>
  <c r="F59" i="1"/>
  <c r="F71" i="1" s="1"/>
  <c r="F79" i="1" s="1"/>
  <c r="G13" i="1" s="1"/>
  <c r="H13" i="1" s="1"/>
  <c r="I13" i="1" s="1"/>
  <c r="E59" i="1"/>
  <c r="E71" i="1" s="1"/>
  <c r="E79" i="1" s="1"/>
  <c r="G12" i="1" s="1"/>
  <c r="H12" i="1" s="1"/>
  <c r="I12" i="1" s="1"/>
  <c r="D59" i="1"/>
  <c r="D71" i="1" s="1"/>
  <c r="D79" i="1" s="1"/>
  <c r="G11" i="1" s="1"/>
  <c r="H11" i="1" s="1"/>
  <c r="I11" i="1" s="1"/>
  <c r="C59" i="1"/>
  <c r="C71" i="1" s="1"/>
  <c r="C79" i="1" s="1"/>
  <c r="G10" i="1" s="1"/>
  <c r="H10" i="1" s="1"/>
  <c r="I10" i="1" s="1"/>
  <c r="B59" i="1"/>
  <c r="B71" i="1" s="1"/>
  <c r="B79" i="1" s="1"/>
  <c r="G9" i="1" s="1"/>
  <c r="T58" i="1"/>
  <c r="S58" i="1"/>
  <c r="P58" i="1"/>
  <c r="L58" i="1"/>
  <c r="H58" i="1"/>
  <c r="D58" i="1"/>
  <c r="V56" i="1"/>
  <c r="V55" i="1"/>
  <c r="V53" i="1"/>
  <c r="V52" i="1"/>
  <c r="V51" i="1"/>
  <c r="V50" i="1"/>
  <c r="T4" i="1" s="1"/>
  <c r="T6" i="1" s="1"/>
  <c r="V49" i="1"/>
  <c r="V48" i="1"/>
  <c r="V47" i="1"/>
  <c r="V46" i="1"/>
  <c r="N4" i="1" s="1"/>
  <c r="N6" i="1" s="1"/>
  <c r="V45" i="1"/>
  <c r="V44" i="1"/>
  <c r="V43" i="1"/>
  <c r="V42" i="1"/>
  <c r="I4" i="1" s="1"/>
  <c r="I6" i="1" s="1"/>
  <c r="V41" i="1"/>
  <c r="V40" i="1"/>
  <c r="V39" i="1"/>
  <c r="V38" i="1"/>
  <c r="E4" i="1" s="1"/>
  <c r="E6" i="1" s="1"/>
  <c r="V37" i="1"/>
  <c r="V36" i="1"/>
  <c r="V35" i="1"/>
  <c r="V34" i="1"/>
  <c r="A4" i="1" s="1"/>
  <c r="A6" i="1" s="1"/>
  <c r="U33" i="1"/>
  <c r="U58" i="1" s="1"/>
  <c r="T33" i="1"/>
  <c r="S33" i="1"/>
  <c r="R33" i="1"/>
  <c r="R58" i="1" s="1"/>
  <c r="Q33" i="1"/>
  <c r="Q58" i="1" s="1"/>
  <c r="P33" i="1"/>
  <c r="O33" i="1"/>
  <c r="O58" i="1" s="1"/>
  <c r="N33" i="1"/>
  <c r="N58" i="1" s="1"/>
  <c r="M33" i="1"/>
  <c r="M58" i="1" s="1"/>
  <c r="L33" i="1"/>
  <c r="K33" i="1"/>
  <c r="K58" i="1" s="1"/>
  <c r="J33" i="1"/>
  <c r="J58" i="1" s="1"/>
  <c r="I33" i="1"/>
  <c r="I58" i="1" s="1"/>
  <c r="H33" i="1"/>
  <c r="G33" i="1"/>
  <c r="G58" i="1" s="1"/>
  <c r="F33" i="1"/>
  <c r="F58" i="1" s="1"/>
  <c r="E33" i="1"/>
  <c r="E58" i="1" s="1"/>
  <c r="D33" i="1"/>
  <c r="C33" i="1"/>
  <c r="C58" i="1" s="1"/>
  <c r="B33" i="1"/>
  <c r="B58" i="1" s="1"/>
  <c r="V32" i="1"/>
  <c r="V58" i="1" s="1"/>
  <c r="F29" i="1"/>
  <c r="I26" i="1"/>
  <c r="H26" i="1"/>
  <c r="G26" i="1"/>
  <c r="K6" i="1"/>
  <c r="G6" i="1"/>
  <c r="C6" i="1"/>
  <c r="X4" i="1"/>
  <c r="X6" i="1" s="1"/>
  <c r="W4" i="1"/>
  <c r="W6" i="1" s="1"/>
  <c r="V4" i="1"/>
  <c r="V6" i="1" s="1"/>
  <c r="U4" i="1"/>
  <c r="U6" i="1" s="1"/>
  <c r="S4" i="1"/>
  <c r="S6" i="1" s="1"/>
  <c r="R4" i="1"/>
  <c r="R6" i="1" s="1"/>
  <c r="Q4" i="1"/>
  <c r="Q6" i="1" s="1"/>
  <c r="P4" i="1"/>
  <c r="P6" i="1" s="1"/>
  <c r="O4" i="1"/>
  <c r="O6" i="1" s="1"/>
  <c r="L4" i="1"/>
  <c r="L6" i="1" s="1"/>
  <c r="K4" i="1"/>
  <c r="J4" i="1"/>
  <c r="J6" i="1" s="1"/>
  <c r="H4" i="1"/>
  <c r="H6" i="1" s="1"/>
  <c r="G4" i="1"/>
  <c r="F4" i="1"/>
  <c r="F6" i="1" s="1"/>
  <c r="D4" i="1"/>
  <c r="D6" i="1" s="1"/>
  <c r="C4" i="1"/>
  <c r="B4" i="1"/>
  <c r="B6" i="1" s="1"/>
  <c r="M6" i="1" l="1"/>
  <c r="Y6" i="1" s="1"/>
  <c r="G29" i="1"/>
  <c r="H9" i="1"/>
  <c r="V59" i="1"/>
  <c r="V71" i="1" s="1"/>
  <c r="V79" i="1" s="1"/>
  <c r="H29" i="1" l="1"/>
  <c r="I9" i="1"/>
  <c r="I29" i="1" s="1"/>
</calcChain>
</file>

<file path=xl/sharedStrings.xml><?xml version="1.0" encoding="utf-8"?>
<sst xmlns="http://schemas.openxmlformats.org/spreadsheetml/2006/main" count="353" uniqueCount="107">
  <si>
    <t>Efectivo</t>
  </si>
  <si>
    <t>Voucher</t>
  </si>
  <si>
    <t>Bancolombia</t>
  </si>
  <si>
    <t>Daviplata</t>
  </si>
  <si>
    <t>Nequi</t>
  </si>
  <si>
    <t>Addi</t>
  </si>
  <si>
    <t>Sistecredito</t>
  </si>
  <si>
    <t>Anticipo</t>
  </si>
  <si>
    <t>Bono</t>
  </si>
  <si>
    <t>Pago Sistecredito</t>
  </si>
  <si>
    <t>Total</t>
  </si>
  <si>
    <t>Fecha</t>
  </si>
  <si>
    <t xml:space="preserve">Valor </t>
  </si>
  <si>
    <t>Contado</t>
  </si>
  <si>
    <t>Diferecia</t>
  </si>
  <si>
    <t>(-) SOBRA (+) FALTA</t>
  </si>
  <si>
    <t>21-feb</t>
  </si>
  <si>
    <t>23-feb</t>
  </si>
  <si>
    <t>24-feb</t>
  </si>
  <si>
    <t>25-feb</t>
  </si>
  <si>
    <t>26-feb</t>
  </si>
  <si>
    <t>27-feb</t>
  </si>
  <si>
    <t>28-feb</t>
  </si>
  <si>
    <t>2-mar</t>
  </si>
  <si>
    <t>4-mar</t>
  </si>
  <si>
    <t>5-mar</t>
  </si>
  <si>
    <t>6-mar</t>
  </si>
  <si>
    <t>7-mar</t>
  </si>
  <si>
    <t>10-mar</t>
  </si>
  <si>
    <t>11-mar</t>
  </si>
  <si>
    <t>Total general</t>
  </si>
  <si>
    <t xml:space="preserve"> Addi </t>
  </si>
  <si>
    <t xml:space="preserve"> Sistecredito </t>
  </si>
  <si>
    <t xml:space="preserve"> Compras </t>
  </si>
  <si>
    <t>Anticipos Recibidos</t>
  </si>
  <si>
    <t>Anticipos Por Cruzar</t>
  </si>
  <si>
    <t>Bono Regalo</t>
  </si>
  <si>
    <t xml:space="preserve">Total </t>
  </si>
  <si>
    <t>Solicitud de Desarrollo de Software – Cierre de Caja</t>
  </si>
  <si>
    <t>Por medio del presente documento se solicita el desarrollo de un sistema de cierre de caja diario, con el objetivo de optimizar el control financiero, reducir errores operativos y mejorar la gestión comercial.</t>
  </si>
  <si>
    <t>Objetivo</t>
  </si>
  <si>
    <t>Desarrollar un sistema que permita registrar, validar y controlar los ingresos diarios por diferentes medios de pago, incluyendo el conteo de efectivo y la conciliación automática.</t>
  </si>
  <si>
    <t>Alcance del sistema</t>
  </si>
  <si>
    <t>El sistema debe permitir el registro diario de ventas, control por medios de pago, conteo de efectivo por denominaciones, generación de diferencias y reportes históricos.</t>
  </si>
  <si>
    <t>Funcionalidades requeridas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</si>
  <si>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Registro de ventas diarias por tipo de pago (efectivo, voucher, transferencias, créditos, etc.)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</si>
  <si>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Conteo de efectivo por denominaciones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</si>
  <si>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Cálculo automático de totales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</si>
  <si>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Conciliación entre valores registrados y valores contados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</si>
  <si>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Identificación de sobrantes y faltantes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</si>
  <si>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Historial de cierres diarios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</si>
  <si>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Exportación de reportes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</si>
  <si>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Acceso por usuario con roles</t>
    </r>
  </si>
  <si>
    <t>Resultados esperados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</si>
  <si>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Automatización del proceso de cierre de caja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</si>
  <si>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Reducción de errores manuales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</si>
  <si>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Mayor control y trazabilidad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</si>
  <si>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Disponibilidad de reportes para toma de decisiones</t>
    </r>
  </si>
  <si>
    <t>Reporte diario de atencion a Clientes y Ventas OPTICA   EVOLUTION</t>
  </si>
  <si>
    <t>Mes</t>
  </si>
  <si>
    <t>DANIELA AYALA</t>
  </si>
  <si>
    <t>Item</t>
  </si>
  <si>
    <t>Hombre</t>
  </si>
  <si>
    <t>Mujeres</t>
  </si>
  <si>
    <t>Niñ@s</t>
  </si>
  <si>
    <t>Valores Recibido</t>
  </si>
  <si>
    <t>OBSERVACIONES</t>
  </si>
  <si>
    <t>Preguntas</t>
  </si>
  <si>
    <t>Cotizaciones</t>
  </si>
  <si>
    <t>Entregas de Bonos</t>
  </si>
  <si>
    <t>Bonos redimidos</t>
  </si>
  <si>
    <t>Sistecreditos Realizados</t>
  </si>
  <si>
    <t>Addi Reaalizados</t>
  </si>
  <si>
    <t>Consultas Efectivas</t>
  </si>
  <si>
    <t>Consulta "Venta Formula"</t>
  </si>
  <si>
    <t>Consultas No Efectivas</t>
  </si>
  <si>
    <t xml:space="preserve">Control De Seguimiento </t>
  </si>
  <si>
    <t>Seguimiento Garantías</t>
  </si>
  <si>
    <t>Ordenes</t>
  </si>
  <si>
    <t>Plan separe</t>
  </si>
  <si>
    <t>Otras ventas</t>
  </si>
  <si>
    <t xml:space="preserve">Entregas </t>
  </si>
  <si>
    <t>Sistecreditos Abonos</t>
  </si>
  <si>
    <t>Total:</t>
  </si>
  <si>
    <t>Valor de las ordenes</t>
  </si>
  <si>
    <t xml:space="preserve">Asesor </t>
  </si>
  <si>
    <t>MARIA DANIELA</t>
  </si>
  <si>
    <t>Reporte diario de atencion a Clientes y Ventas OPTICA   DR STERLING</t>
  </si>
  <si>
    <t>Andrés  Felipe  Rodríguez  Segura</t>
  </si>
  <si>
    <r>
      <rPr>
        <b/>
        <sz val="11"/>
        <rFont val="Calibri"/>
        <family val="2"/>
        <scheme val="minor"/>
      </rPr>
      <t>Jornada Mañana</t>
    </r>
  </si>
  <si>
    <r>
      <rPr>
        <b/>
        <sz val="11"/>
        <rFont val="Calibri"/>
        <family val="2"/>
        <scheme val="minor"/>
      </rPr>
      <t>Jornada Tarde</t>
    </r>
  </si>
  <si>
    <r>
      <rPr>
        <b/>
        <sz val="11"/>
        <rFont val="Calibri"/>
        <family val="2"/>
        <scheme val="minor"/>
      </rPr>
      <t>Total Dia</t>
    </r>
  </si>
  <si>
    <t>Publicaciones Subidas a Facebook</t>
  </si>
  <si>
    <t>Publicaciones Subidas a Instagram</t>
  </si>
  <si>
    <t>Publicaciones Subidas a Whatsapp</t>
  </si>
  <si>
    <t>Publicaciones Compartidas en Facebook</t>
  </si>
  <si>
    <t>Tiktok Realizados</t>
  </si>
  <si>
    <t>Bonos Regalos Enviados</t>
  </si>
  <si>
    <t>Bonos de Fidelización enviados</t>
  </si>
  <si>
    <t>Mensajes Recibidos Facebook</t>
  </si>
  <si>
    <t>Mensajes Recibidos Instagram</t>
  </si>
  <si>
    <t>Mensajes Recibidos Whatsapp</t>
  </si>
  <si>
    <t>Entregas Realizadas</t>
  </si>
  <si>
    <t xml:space="preserve">Etiquetas realizadas por Clientes </t>
  </si>
  <si>
    <t xml:space="preserve">Cotizaciones </t>
  </si>
  <si>
    <t xml:space="preserve">Ordenes de trabajo </t>
  </si>
  <si>
    <t>Liseth Natalia Meneses 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</si>
</sst>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dd/mm/yyyy"/>
    <numFmt numFmtId="166" formatCode="_-&quot;$&quot;\ * #,##0_-;\-&quot;$&quot;\ * #,##0_-;_-&quot;$&quot;\ * &quot;-&quot;??_-;_-@_-"/>
    <numFmt numFmtId="171" formatCode="[$-F800]dddd\,\ mmmm\ dd\,\ yyyy"/>
    <numFmt numFmtId="172" formatCode="_-* #,##0_-;\-* #,##0_-;_-* &quot;-&quot;??_-;_-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26"/>
      <color rgb="FF17365D"/>
      <name val="Calibri"/>
      <family val="2"/>
      <scheme val="minor"/>
    </font>
    <font>
      <sz val="11"/>
      <color theme="1"/>
      <name val="Cambria"/>
      <family val="1"/>
    </font>
    <font>
      <sz val="7"/>
      <color theme="1"/>
      <name val="Times New Roman"/>
      <family val="1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9">
    <xf numFmtId="0" fontId="0" fillId="0" borderId="0" xfId="0"/>
    <xf numFmtId="164" fontId="3" fillId="0" borderId="0" xfId="1" applyNumberFormat="1" applyFont="1"/>
    <xf numFmtId="164" fontId="4" fillId="2" borderId="0" xfId="1" applyNumberFormat="1" applyFont="1" applyFill="1" applyAlignment="1"/>
    <xf numFmtId="164" fontId="4" fillId="2" borderId="0" xfId="1" applyNumberFormat="1" applyFont="1" applyFill="1"/>
    <xf numFmtId="164" fontId="3" fillId="0" borderId="0" xfId="1" applyNumberFormat="1" applyFont="1" applyAlignment="1">
      <alignment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wrapText="1"/>
    </xf>
    <xf numFmtId="0" fontId="6" fillId="0" borderId="2" xfId="0" applyFont="1" applyFill="1" applyBorder="1"/>
    <xf numFmtId="43" fontId="7" fillId="0" borderId="0" xfId="1" applyFont="1" applyFill="1"/>
    <xf numFmtId="0" fontId="7" fillId="0" borderId="0" xfId="3" applyFont="1" applyFill="1"/>
    <xf numFmtId="0" fontId="7" fillId="0" borderId="0" xfId="4" applyNumberFormat="1" applyFont="1"/>
    <xf numFmtId="164" fontId="3" fillId="0" borderId="1" xfId="1" applyNumberFormat="1" applyFont="1" applyBorder="1"/>
    <xf numFmtId="165" fontId="1" fillId="0" borderId="1" xfId="5" applyNumberFormat="1" applyFont="1" applyBorder="1" applyAlignment="1">
      <alignment horizontal="left"/>
    </xf>
    <xf numFmtId="164" fontId="1" fillId="0" borderId="1" xfId="1" applyNumberFormat="1" applyFont="1" applyBorder="1"/>
    <xf numFmtId="166" fontId="8" fillId="0" borderId="1" xfId="2" applyNumberFormat="1" applyFont="1" applyFill="1" applyBorder="1"/>
    <xf numFmtId="164" fontId="8" fillId="0" borderId="1" xfId="1" applyNumberFormat="1" applyFont="1" applyFill="1" applyBorder="1"/>
    <xf numFmtId="164" fontId="8" fillId="0" borderId="1" xfId="1" applyNumberFormat="1" applyFont="1" applyBorder="1"/>
    <xf numFmtId="165" fontId="3" fillId="0" borderId="0" xfId="0" applyNumberFormat="1" applyFont="1" applyFill="1" applyAlignment="1">
      <alignment horizontal="left"/>
    </xf>
    <xf numFmtId="0" fontId="3" fillId="0" borderId="0" xfId="0" applyNumberFormat="1" applyFont="1" applyFill="1"/>
    <xf numFmtId="164" fontId="7" fillId="0" borderId="0" xfId="1" applyNumberFormat="1" applyFont="1" applyFill="1"/>
    <xf numFmtId="165" fontId="6" fillId="0" borderId="3" xfId="0" applyNumberFormat="1" applyFont="1" applyFill="1" applyBorder="1" applyAlignment="1">
      <alignment horizontal="left"/>
    </xf>
    <xf numFmtId="0" fontId="6" fillId="0" borderId="3" xfId="0" applyNumberFormat="1" applyFont="1" applyFill="1" applyBorder="1"/>
    <xf numFmtId="14" fontId="7" fillId="0" borderId="0" xfId="4" applyNumberFormat="1" applyFont="1" applyAlignment="1">
      <alignment horizontal="left"/>
    </xf>
    <xf numFmtId="14" fontId="7" fillId="0" borderId="0" xfId="6" applyNumberFormat="1" applyFont="1" applyAlignment="1">
      <alignment horizontal="left"/>
    </xf>
    <xf numFmtId="0" fontId="7" fillId="0" borderId="0" xfId="6" applyNumberFormat="1" applyFont="1"/>
    <xf numFmtId="166" fontId="8" fillId="3" borderId="1" xfId="2" applyNumberFormat="1" applyFont="1" applyFill="1" applyBorder="1"/>
    <xf numFmtId="0" fontId="1" fillId="0" borderId="1" xfId="5" applyNumberFormat="1" applyFont="1" applyBorder="1"/>
    <xf numFmtId="165" fontId="1" fillId="0" borderId="1" xfId="7" applyNumberFormat="1" applyFont="1" applyBorder="1" applyAlignment="1">
      <alignment horizontal="left"/>
    </xf>
    <xf numFmtId="166" fontId="1" fillId="0" borderId="1" xfId="2" applyNumberFormat="1" applyFont="1" applyBorder="1"/>
    <xf numFmtId="165" fontId="7" fillId="0" borderId="1" xfId="7" applyNumberFormat="1" applyFont="1" applyBorder="1" applyAlignment="1">
      <alignment horizontal="left"/>
    </xf>
    <xf numFmtId="166" fontId="7" fillId="0" borderId="1" xfId="2" applyNumberFormat="1" applyFont="1" applyBorder="1"/>
    <xf numFmtId="166" fontId="3" fillId="0" borderId="1" xfId="2" applyNumberFormat="1" applyFont="1" applyFill="1" applyBorder="1"/>
    <xf numFmtId="164" fontId="3" fillId="0" borderId="1" xfId="1" applyNumberFormat="1" applyFont="1" applyFill="1" applyBorder="1"/>
    <xf numFmtId="165" fontId="3" fillId="0" borderId="1" xfId="0" applyNumberFormat="1" applyFont="1" applyFill="1" applyBorder="1" applyAlignment="1">
      <alignment horizontal="left"/>
    </xf>
    <xf numFmtId="164" fontId="3" fillId="0" borderId="0" xfId="1" applyNumberFormat="1" applyFont="1" applyFill="1"/>
    <xf numFmtId="14" fontId="3" fillId="0" borderId="1" xfId="1" applyNumberFormat="1" applyFont="1" applyFill="1" applyBorder="1"/>
    <xf numFmtId="164" fontId="4" fillId="2" borderId="1" xfId="1" applyNumberFormat="1" applyFont="1" applyFill="1" applyBorder="1"/>
    <xf numFmtId="164" fontId="4" fillId="2" borderId="1" xfId="1" applyNumberFormat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14" fontId="4" fillId="2" borderId="1" xfId="1" applyNumberFormat="1" applyFont="1" applyFill="1" applyBorder="1" applyAlignment="1">
      <alignment horizontal="center"/>
    </xf>
    <xf numFmtId="14" fontId="3" fillId="0" borderId="0" xfId="1" applyNumberFormat="1" applyFont="1" applyAlignment="1">
      <alignment horizontal="center"/>
    </xf>
    <xf numFmtId="164" fontId="4" fillId="0" borderId="1" xfId="1" applyNumberFormat="1" applyFont="1" applyBorder="1"/>
    <xf numFmtId="3" fontId="1" fillId="0" borderId="0" xfId="5" applyNumberFormat="1"/>
    <xf numFmtId="164" fontId="4" fillId="0" borderId="0" xfId="1" applyNumberFormat="1" applyFont="1"/>
    <xf numFmtId="14" fontId="9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0" borderId="5" xfId="0" applyFont="1" applyBorder="1"/>
    <xf numFmtId="0" fontId="14" fillId="0" borderId="6" xfId="0" applyFont="1" applyBorder="1"/>
    <xf numFmtId="0" fontId="0" fillId="0" borderId="0" xfId="0" applyFont="1" applyAlignment="1"/>
    <xf numFmtId="0" fontId="15" fillId="4" borderId="7" xfId="0" applyFont="1" applyFill="1" applyBorder="1" applyAlignment="1">
      <alignment vertical="center"/>
    </xf>
    <xf numFmtId="171" fontId="15" fillId="4" borderId="4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/>
    </xf>
    <xf numFmtId="172" fontId="15" fillId="4" borderId="7" xfId="0" applyNumberFormat="1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4" fillId="0" borderId="9" xfId="0" applyFont="1" applyBorder="1"/>
    <xf numFmtId="0" fontId="15" fillId="4" borderId="7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172" fontId="16" fillId="0" borderId="7" xfId="0" applyNumberFormat="1" applyFont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 wrapText="1"/>
    </xf>
    <xf numFmtId="0" fontId="14" fillId="0" borderId="11" xfId="0" applyFont="1" applyBorder="1"/>
    <xf numFmtId="0" fontId="14" fillId="0" borderId="12" xfId="0" applyFont="1" applyBorder="1"/>
    <xf numFmtId="0" fontId="14" fillId="0" borderId="13" xfId="0" applyFont="1" applyBorder="1"/>
    <xf numFmtId="0" fontId="0" fillId="0" borderId="0" xfId="0" applyFont="1" applyAlignment="1"/>
    <xf numFmtId="0" fontId="14" fillId="0" borderId="14" xfId="0" applyFont="1" applyBorder="1"/>
    <xf numFmtId="0" fontId="16" fillId="0" borderId="0" xfId="0" applyFont="1"/>
    <xf numFmtId="172" fontId="16" fillId="0" borderId="7" xfId="0" applyNumberFormat="1" applyFont="1" applyBorder="1" applyAlignment="1">
      <alignment horizontal="right" vertical="center"/>
    </xf>
    <xf numFmtId="0" fontId="14" fillId="0" borderId="15" xfId="0" applyFont="1" applyBorder="1"/>
    <xf numFmtId="8" fontId="16" fillId="0" borderId="0" xfId="0" applyNumberFormat="1" applyFont="1" applyAlignment="1">
      <alignment vertical="center" wrapText="1"/>
    </xf>
    <xf numFmtId="0" fontId="15" fillId="6" borderId="4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172" fontId="15" fillId="6" borderId="7" xfId="0" applyNumberFormat="1" applyFont="1" applyFill="1" applyBorder="1" applyAlignment="1">
      <alignment horizontal="right" vertical="center"/>
    </xf>
    <xf numFmtId="0" fontId="14" fillId="0" borderId="16" xfId="0" applyFont="1" applyBorder="1"/>
    <xf numFmtId="0" fontId="14" fillId="0" borderId="17" xfId="0" applyFont="1" applyBorder="1"/>
    <xf numFmtId="0" fontId="14" fillId="0" borderId="18" xfId="0" applyFont="1" applyBorder="1"/>
    <xf numFmtId="0" fontId="16" fillId="5" borderId="10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172" fontId="1" fillId="0" borderId="0" xfId="0" applyNumberFormat="1" applyFont="1"/>
    <xf numFmtId="172" fontId="15" fillId="6" borderId="7" xfId="0" applyNumberFormat="1" applyFont="1" applyFill="1" applyBorder="1" applyAlignment="1">
      <alignment horizontal="center" vertical="center"/>
    </xf>
    <xf numFmtId="172" fontId="16" fillId="0" borderId="0" xfId="0" applyNumberFormat="1" applyFont="1"/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vertical="center"/>
    </xf>
    <xf numFmtId="171" fontId="2" fillId="7" borderId="23" xfId="0" applyNumberFormat="1" applyFont="1" applyFill="1" applyBorder="1" applyAlignment="1">
      <alignment horizontal="center" vertical="center"/>
    </xf>
    <xf numFmtId="171" fontId="2" fillId="7" borderId="24" xfId="0" applyNumberFormat="1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2" fillId="7" borderId="36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left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</cellXfs>
  <cellStyles count="8">
    <cellStyle name="Millares" xfId="1" builtinId="3"/>
    <cellStyle name="Moneda" xfId="2" builtinId="4"/>
    <cellStyle name="Normal" xfId="0" builtinId="0"/>
    <cellStyle name="Normal 109" xfId="7"/>
    <cellStyle name="Normal 110" xfId="5"/>
    <cellStyle name="Normal 67" xfId="6"/>
    <cellStyle name="Normal 70" xfId="4"/>
    <cellStyle name="Normal 8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22" zoomScale="80" zoomScaleNormal="80" workbookViewId="0">
      <selection activeCell="B24" sqref="B24"/>
    </sheetView>
  </sheetViews>
  <sheetFormatPr baseColWidth="10" defaultRowHeight="14" x14ac:dyDescent="0.3"/>
  <cols>
    <col min="1" max="1" width="16.19921875" bestFit="1" customWidth="1"/>
  </cols>
  <sheetData>
    <row r="1" spans="1:14" ht="33.35" x14ac:dyDescent="0.3">
      <c r="A1" s="48" t="s">
        <v>38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4" ht="34.950000000000003" customHeight="1" x14ac:dyDescent="0.3">
      <c r="A2" s="49" t="s">
        <v>39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4" x14ac:dyDescent="0.3">
      <c r="A3" s="49" t="s">
        <v>40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</row>
    <row r="4" spans="1:14" x14ac:dyDescent="0.3">
      <c r="A4" s="49" t="s">
        <v>41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1:14" x14ac:dyDescent="0.3">
      <c r="A5" s="49" t="s">
        <v>42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50"/>
    </row>
    <row r="6" spans="1:14" x14ac:dyDescent="0.3">
      <c r="A6" s="49" t="s">
        <v>43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</row>
    <row r="7" spans="1:14" x14ac:dyDescent="0.3">
      <c r="A7" s="49" t="s">
        <v>44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50"/>
    </row>
    <row r="8" spans="1:14" x14ac:dyDescent="0.3">
      <c r="A8" s="49" t="s">
        <v>45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50"/>
    </row>
    <row r="9" spans="1:14" x14ac:dyDescent="0.3">
      <c r="A9" s="49" t="s">
        <v>46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1:14" x14ac:dyDescent="0.3">
      <c r="A10" s="49" t="s">
        <v>47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50"/>
    </row>
    <row r="11" spans="1:14" x14ac:dyDescent="0.3">
      <c r="A11" s="49" t="s">
        <v>48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</row>
    <row r="12" spans="1:14" x14ac:dyDescent="0.3">
      <c r="A12" s="49" t="s">
        <v>49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50"/>
    </row>
    <row r="13" spans="1:14" x14ac:dyDescent="0.3">
      <c r="A13" s="49" t="s">
        <v>50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50"/>
    </row>
    <row r="14" spans="1:14" x14ac:dyDescent="0.3">
      <c r="A14" s="49" t="s">
        <v>51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50"/>
    </row>
    <row r="15" spans="1:14" x14ac:dyDescent="0.3">
      <c r="A15" s="49" t="s">
        <v>52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</row>
    <row r="16" spans="1:14" x14ac:dyDescent="0.3">
      <c r="A16" s="49" t="s">
        <v>53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50"/>
    </row>
    <row r="17" spans="1:14" x14ac:dyDescent="0.3">
      <c r="A17" s="49" t="s">
        <v>54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50"/>
    </row>
    <row r="18" spans="1:14" x14ac:dyDescent="0.3">
      <c r="A18" s="49" t="s">
        <v>55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0"/>
    </row>
    <row r="19" spans="1:14" x14ac:dyDescent="0.3">
      <c r="A19" s="49" t="s">
        <v>56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/>
    </row>
    <row r="20" spans="1:14" x14ac:dyDescent="0.3">
      <c r="A20" s="49" t="s">
        <v>57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50"/>
    </row>
    <row r="23" spans="1:14" x14ac:dyDescent="0.3">
      <c r="A23" s="41"/>
      <c r="B23" s="41" t="e">
        <f>+#REF!</f>
        <v>#REF!</v>
      </c>
    </row>
    <row r="24" spans="1:14" x14ac:dyDescent="0.3">
      <c r="A24" s="43">
        <v>100000</v>
      </c>
      <c r="B24" s="12">
        <v>0</v>
      </c>
    </row>
    <row r="25" spans="1:14" x14ac:dyDescent="0.3">
      <c r="A25" s="43">
        <v>50000</v>
      </c>
      <c r="B25" s="12">
        <v>1</v>
      </c>
    </row>
    <row r="26" spans="1:14" x14ac:dyDescent="0.3">
      <c r="A26" s="43">
        <v>20000</v>
      </c>
      <c r="B26" s="12">
        <v>1</v>
      </c>
    </row>
    <row r="27" spans="1:14" x14ac:dyDescent="0.3">
      <c r="A27" s="43">
        <v>10000</v>
      </c>
      <c r="B27" s="12">
        <v>1</v>
      </c>
    </row>
    <row r="28" spans="1:14" x14ac:dyDescent="0.3">
      <c r="A28" s="43">
        <v>5000</v>
      </c>
      <c r="B28" s="12">
        <v>0</v>
      </c>
    </row>
    <row r="29" spans="1:14" x14ac:dyDescent="0.3">
      <c r="A29" s="43">
        <v>2000</v>
      </c>
      <c r="B29" s="12">
        <v>3</v>
      </c>
    </row>
    <row r="30" spans="1:14" x14ac:dyDescent="0.3">
      <c r="A30" s="43">
        <v>1000</v>
      </c>
      <c r="B30" s="12">
        <v>0</v>
      </c>
    </row>
    <row r="31" spans="1:14" x14ac:dyDescent="0.3">
      <c r="A31" s="43">
        <v>1000</v>
      </c>
      <c r="B31" s="12">
        <v>0</v>
      </c>
    </row>
    <row r="32" spans="1:14" x14ac:dyDescent="0.3">
      <c r="A32" s="43">
        <v>500</v>
      </c>
      <c r="B32" s="12">
        <v>0</v>
      </c>
    </row>
    <row r="33" spans="1:2" x14ac:dyDescent="0.3">
      <c r="A33" s="43">
        <v>200</v>
      </c>
      <c r="B33" s="12">
        <v>0</v>
      </c>
    </row>
    <row r="34" spans="1:2" x14ac:dyDescent="0.3">
      <c r="A34" s="43">
        <v>100</v>
      </c>
      <c r="B34" s="12">
        <v>0</v>
      </c>
    </row>
    <row r="35" spans="1:2" x14ac:dyDescent="0.3">
      <c r="A35" s="43">
        <v>50</v>
      </c>
      <c r="B35" s="12">
        <v>0</v>
      </c>
    </row>
    <row r="36" spans="1:2" x14ac:dyDescent="0.3">
      <c r="A36" s="43" t="s">
        <v>1</v>
      </c>
      <c r="B36" s="12">
        <v>1150000</v>
      </c>
    </row>
    <row r="37" spans="1:2" x14ac:dyDescent="0.3">
      <c r="A37" s="43" t="s">
        <v>2</v>
      </c>
      <c r="B37" s="12">
        <v>0</v>
      </c>
    </row>
    <row r="38" spans="1:2" x14ac:dyDescent="0.3">
      <c r="A38" s="43" t="s">
        <v>3</v>
      </c>
      <c r="B38" s="12">
        <v>0</v>
      </c>
    </row>
    <row r="39" spans="1:2" x14ac:dyDescent="0.3">
      <c r="A39" s="43" t="s">
        <v>4</v>
      </c>
      <c r="B39" s="12">
        <v>0</v>
      </c>
    </row>
    <row r="40" spans="1:2" x14ac:dyDescent="0.3">
      <c r="A40" s="43" t="s">
        <v>31</v>
      </c>
      <c r="B40" s="12">
        <v>0</v>
      </c>
    </row>
    <row r="41" spans="1:2" x14ac:dyDescent="0.3">
      <c r="A41" s="43" t="s">
        <v>32</v>
      </c>
      <c r="B41" s="12">
        <v>0</v>
      </c>
    </row>
    <row r="42" spans="1:2" x14ac:dyDescent="0.3">
      <c r="A42" s="43" t="s">
        <v>33</v>
      </c>
      <c r="B42" s="12">
        <v>4000</v>
      </c>
    </row>
    <row r="43" spans="1:2" x14ac:dyDescent="0.3">
      <c r="A43" s="43" t="s">
        <v>34</v>
      </c>
      <c r="B43" s="12">
        <v>0</v>
      </c>
    </row>
    <row r="44" spans="1:2" x14ac:dyDescent="0.3">
      <c r="A44" s="43" t="s">
        <v>35</v>
      </c>
      <c r="B44" s="12">
        <v>0</v>
      </c>
    </row>
    <row r="45" spans="1:2" x14ac:dyDescent="0.3">
      <c r="A45" s="43" t="s">
        <v>36</v>
      </c>
      <c r="B45" s="12">
        <v>0</v>
      </c>
    </row>
    <row r="46" spans="1:2" x14ac:dyDescent="0.3">
      <c r="A46" s="43" t="s">
        <v>9</v>
      </c>
      <c r="B46" s="12">
        <v>0</v>
      </c>
    </row>
  </sheetData>
  <mergeCells count="20">
    <mergeCell ref="A19:M19"/>
    <mergeCell ref="A20:M20"/>
    <mergeCell ref="A13:M13"/>
    <mergeCell ref="A14:M14"/>
    <mergeCell ref="A15:M15"/>
    <mergeCell ref="A16:M16"/>
    <mergeCell ref="A17:M17"/>
    <mergeCell ref="A18:M18"/>
    <mergeCell ref="A7:M7"/>
    <mergeCell ref="A8:M8"/>
    <mergeCell ref="A9:M9"/>
    <mergeCell ref="A10:M10"/>
    <mergeCell ref="A11:M11"/>
    <mergeCell ref="A12:M12"/>
    <mergeCell ref="A1:M1"/>
    <mergeCell ref="A2:M2"/>
    <mergeCell ref="A3:M3"/>
    <mergeCell ref="A4:M4"/>
    <mergeCell ref="A5:M5"/>
    <mergeCell ref="A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topLeftCell="A18" zoomScale="60" zoomScaleNormal="60" workbookViewId="0">
      <selection activeCell="A33" sqref="A33:B56"/>
    </sheetView>
  </sheetViews>
  <sheetFormatPr baseColWidth="10" defaultRowHeight="14" x14ac:dyDescent="0.3"/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/>
      <c r="B2" s="1"/>
      <c r="C2" s="1">
        <v>9</v>
      </c>
      <c r="D2" s="1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>
        <v>100000</v>
      </c>
      <c r="B3" s="2">
        <v>50000</v>
      </c>
      <c r="C3" s="2">
        <v>20000</v>
      </c>
      <c r="D3" s="2">
        <v>10000</v>
      </c>
      <c r="E3" s="2">
        <v>5000</v>
      </c>
      <c r="F3" s="2">
        <v>2000</v>
      </c>
      <c r="G3" s="2">
        <v>1000</v>
      </c>
      <c r="H3" s="2">
        <v>1000</v>
      </c>
      <c r="I3" s="2">
        <v>500</v>
      </c>
      <c r="J3" s="2">
        <v>200</v>
      </c>
      <c r="K3" s="2">
        <v>100</v>
      </c>
      <c r="L3" s="2">
        <v>50</v>
      </c>
      <c r="M3" s="2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5</v>
      </c>
      <c r="U3" s="2" t="s">
        <v>6</v>
      </c>
      <c r="V3" s="2" t="s">
        <v>7</v>
      </c>
      <c r="W3" s="2" t="s">
        <v>8</v>
      </c>
      <c r="X3" s="2" t="s">
        <v>9</v>
      </c>
      <c r="Y3" s="2" t="s">
        <v>10</v>
      </c>
    </row>
    <row r="4" spans="1:25" x14ac:dyDescent="0.3">
      <c r="A4" s="1">
        <f>+V34</f>
        <v>16</v>
      </c>
      <c r="B4" s="1">
        <f>+V35</f>
        <v>22</v>
      </c>
      <c r="C4" s="1">
        <f>+V36</f>
        <v>19</v>
      </c>
      <c r="D4" s="1">
        <f>+V37</f>
        <v>11</v>
      </c>
      <c r="E4" s="1">
        <f>+V38</f>
        <v>3</v>
      </c>
      <c r="F4" s="1">
        <f>+V39</f>
        <v>9</v>
      </c>
      <c r="G4" s="1">
        <f>+V40</f>
        <v>0</v>
      </c>
      <c r="H4" s="1">
        <f>+V41</f>
        <v>1</v>
      </c>
      <c r="I4" s="1">
        <f>+V42</f>
        <v>52</v>
      </c>
      <c r="J4" s="1">
        <f>+V43</f>
        <v>31</v>
      </c>
      <c r="K4" s="1">
        <f>+V44</f>
        <v>4</v>
      </c>
      <c r="L4" s="1">
        <f>+V45</f>
        <v>0</v>
      </c>
      <c r="M4" s="1"/>
      <c r="N4" s="1">
        <f>+V46</f>
        <v>1300000</v>
      </c>
      <c r="O4" s="1">
        <f>+V47</f>
        <v>0</v>
      </c>
      <c r="P4" s="1">
        <f>+V48</f>
        <v>0</v>
      </c>
      <c r="Q4" s="1">
        <f>+V49</f>
        <v>2267000</v>
      </c>
      <c r="R4" s="1">
        <f>+T50</f>
        <v>0</v>
      </c>
      <c r="S4" s="1">
        <f>+T51</f>
        <v>0</v>
      </c>
      <c r="T4" s="1">
        <f>+V50</f>
        <v>2138000</v>
      </c>
      <c r="U4" s="1">
        <f>+V51</f>
        <v>390000</v>
      </c>
      <c r="V4" s="1">
        <f>+V53</f>
        <v>0</v>
      </c>
      <c r="W4" s="1">
        <f>+V55</f>
        <v>0</v>
      </c>
      <c r="X4" s="1">
        <f>+V56</f>
        <v>0</v>
      </c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3">
        <f>+A4*A3</f>
        <v>1600000</v>
      </c>
      <c r="B6" s="3">
        <f t="shared" ref="B6:L6" si="0">+B4*B3</f>
        <v>1100000</v>
      </c>
      <c r="C6" s="3">
        <f t="shared" si="0"/>
        <v>380000</v>
      </c>
      <c r="D6" s="3">
        <f t="shared" si="0"/>
        <v>110000</v>
      </c>
      <c r="E6" s="3">
        <f t="shared" si="0"/>
        <v>15000</v>
      </c>
      <c r="F6" s="3">
        <f t="shared" si="0"/>
        <v>18000</v>
      </c>
      <c r="G6" s="3">
        <f t="shared" si="0"/>
        <v>0</v>
      </c>
      <c r="H6" s="3">
        <f t="shared" si="0"/>
        <v>1000</v>
      </c>
      <c r="I6" s="3">
        <f t="shared" si="0"/>
        <v>26000</v>
      </c>
      <c r="J6" s="3">
        <f t="shared" si="0"/>
        <v>6200</v>
      </c>
      <c r="K6" s="3">
        <f t="shared" si="0"/>
        <v>400</v>
      </c>
      <c r="L6" s="3">
        <f t="shared" si="0"/>
        <v>0</v>
      </c>
      <c r="M6" s="3">
        <f>SUM(A6:L6)</f>
        <v>3256600</v>
      </c>
      <c r="N6" s="3">
        <f>+N4</f>
        <v>1300000</v>
      </c>
      <c r="O6" s="3">
        <f t="shared" ref="O6:X6" si="1">+O4</f>
        <v>0</v>
      </c>
      <c r="P6" s="3">
        <f t="shared" si="1"/>
        <v>0</v>
      </c>
      <c r="Q6" s="3">
        <f t="shared" si="1"/>
        <v>2267000</v>
      </c>
      <c r="R6" s="3">
        <f t="shared" si="1"/>
        <v>0</v>
      </c>
      <c r="S6" s="3">
        <f t="shared" si="1"/>
        <v>0</v>
      </c>
      <c r="T6" s="3">
        <f t="shared" si="1"/>
        <v>2138000</v>
      </c>
      <c r="U6" s="3">
        <f t="shared" si="1"/>
        <v>390000</v>
      </c>
      <c r="V6" s="3">
        <f t="shared" si="1"/>
        <v>0</v>
      </c>
      <c r="W6" s="3">
        <f t="shared" si="1"/>
        <v>0</v>
      </c>
      <c r="X6" s="3">
        <f t="shared" si="1"/>
        <v>0</v>
      </c>
      <c r="Y6" s="3">
        <f>SUM(M6:X6)</f>
        <v>9351600</v>
      </c>
    </row>
    <row r="7" spans="1:2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7.95" x14ac:dyDescent="0.3">
      <c r="A8" s="4"/>
      <c r="B8" s="1"/>
      <c r="C8" s="4"/>
      <c r="D8" s="5"/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10"/>
      <c r="W8" s="10"/>
      <c r="X8" s="7"/>
      <c r="Y8" s="7"/>
    </row>
    <row r="9" spans="1:25" x14ac:dyDescent="0.3">
      <c r="A9" s="1"/>
      <c r="B9" s="1"/>
      <c r="C9" s="11"/>
      <c r="D9" s="12">
        <v>1</v>
      </c>
      <c r="E9" s="13" t="s">
        <v>16</v>
      </c>
      <c r="F9" s="14">
        <v>1240000</v>
      </c>
      <c r="G9" s="15">
        <f>+B79</f>
        <v>1240000</v>
      </c>
      <c r="H9" s="16">
        <f>+G9-F9</f>
        <v>0</v>
      </c>
      <c r="I9" s="17">
        <f>+H9+B$56</f>
        <v>0</v>
      </c>
      <c r="J9" s="7"/>
      <c r="K9" s="18"/>
      <c r="L9" s="19"/>
      <c r="M9" s="19"/>
      <c r="N9" s="19"/>
      <c r="O9" s="19"/>
      <c r="P9" s="19"/>
      <c r="Q9" s="19"/>
      <c r="R9" s="19"/>
      <c r="S9" s="19"/>
      <c r="T9" s="19"/>
      <c r="U9" s="20"/>
      <c r="V9" s="20"/>
      <c r="W9" s="20"/>
      <c r="X9" s="7"/>
      <c r="Y9" s="7"/>
    </row>
    <row r="10" spans="1:25" x14ac:dyDescent="0.3">
      <c r="A10" s="1"/>
      <c r="B10" s="1"/>
      <c r="C10" s="11"/>
      <c r="D10" s="12">
        <v>2</v>
      </c>
      <c r="E10" s="13" t="s">
        <v>17</v>
      </c>
      <c r="F10" s="14">
        <v>470001</v>
      </c>
      <c r="G10" s="15">
        <f>+C79</f>
        <v>470000</v>
      </c>
      <c r="H10" s="16">
        <f t="shared" ref="H10:H28" si="2">+G10-F10</f>
        <v>-1</v>
      </c>
      <c r="I10" s="17">
        <f>+H10+C$56</f>
        <v>-1</v>
      </c>
      <c r="J10" s="7"/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20"/>
      <c r="W10" s="20"/>
      <c r="X10" s="7"/>
      <c r="Y10" s="7"/>
    </row>
    <row r="11" spans="1:25" x14ac:dyDescent="0.3">
      <c r="A11" s="1"/>
      <c r="B11" s="1"/>
      <c r="C11" s="11"/>
      <c r="D11" s="12">
        <v>3</v>
      </c>
      <c r="E11" s="13" t="s">
        <v>18</v>
      </c>
      <c r="F11" s="14">
        <v>490001</v>
      </c>
      <c r="G11" s="15">
        <f>+D79</f>
        <v>490000</v>
      </c>
      <c r="H11" s="16">
        <f t="shared" si="2"/>
        <v>-1</v>
      </c>
      <c r="I11" s="17">
        <f>+H11+D$56</f>
        <v>-1</v>
      </c>
      <c r="J11" s="7"/>
      <c r="K11" s="18"/>
      <c r="L11" s="19"/>
      <c r="M11" s="19"/>
      <c r="N11" s="19"/>
      <c r="O11" s="19"/>
      <c r="P11" s="19"/>
      <c r="Q11" s="19"/>
      <c r="R11" s="19"/>
      <c r="S11" s="19"/>
      <c r="T11" s="19"/>
      <c r="U11" s="20"/>
      <c r="V11" s="20"/>
      <c r="W11" s="20"/>
      <c r="X11" s="7"/>
      <c r="Y11" s="7"/>
    </row>
    <row r="12" spans="1:25" x14ac:dyDescent="0.3">
      <c r="A12" s="1"/>
      <c r="B12" s="1"/>
      <c r="C12" s="11"/>
      <c r="D12" s="12">
        <v>4</v>
      </c>
      <c r="E12" s="13" t="s">
        <v>19</v>
      </c>
      <c r="F12" s="14">
        <v>200000</v>
      </c>
      <c r="G12" s="15">
        <f>+E79</f>
        <v>200000</v>
      </c>
      <c r="H12" s="16">
        <f t="shared" si="2"/>
        <v>0</v>
      </c>
      <c r="I12" s="17">
        <f>+H12+E$56</f>
        <v>0</v>
      </c>
      <c r="J12" s="7"/>
      <c r="K12" s="18"/>
      <c r="L12" s="19"/>
      <c r="M12" s="19"/>
      <c r="N12" s="19"/>
      <c r="O12" s="19"/>
      <c r="P12" s="19"/>
      <c r="Q12" s="19"/>
      <c r="R12" s="19"/>
      <c r="S12" s="19"/>
      <c r="T12" s="19"/>
      <c r="U12" s="20"/>
      <c r="V12" s="20"/>
      <c r="W12" s="20"/>
      <c r="X12" s="7"/>
      <c r="Y12" s="7"/>
    </row>
    <row r="13" spans="1:25" x14ac:dyDescent="0.3">
      <c r="A13" s="1"/>
      <c r="B13" s="1"/>
      <c r="C13" s="11"/>
      <c r="D13" s="12">
        <v>5</v>
      </c>
      <c r="E13" s="13" t="s">
        <v>20</v>
      </c>
      <c r="F13" s="14">
        <v>1100000</v>
      </c>
      <c r="G13" s="15">
        <f>+F79</f>
        <v>1088000</v>
      </c>
      <c r="H13" s="16">
        <f t="shared" si="2"/>
        <v>-12000</v>
      </c>
      <c r="I13" s="17">
        <f>+H13+F$56</f>
        <v>-12000</v>
      </c>
      <c r="J13" s="7"/>
      <c r="K13" s="21"/>
      <c r="L13" s="22"/>
      <c r="M13" s="22"/>
      <c r="N13" s="22"/>
      <c r="O13" s="19"/>
      <c r="P13" s="19"/>
      <c r="Q13" s="19"/>
      <c r="R13" s="19"/>
      <c r="S13" s="19"/>
      <c r="T13" s="19"/>
      <c r="U13" s="20"/>
      <c r="V13" s="20"/>
      <c r="W13" s="20"/>
      <c r="X13" s="7"/>
      <c r="Y13" s="7"/>
    </row>
    <row r="14" spans="1:25" x14ac:dyDescent="0.3">
      <c r="A14" s="1"/>
      <c r="B14" s="1"/>
      <c r="C14" s="11"/>
      <c r="D14" s="12">
        <v>6</v>
      </c>
      <c r="E14" s="13" t="s">
        <v>21</v>
      </c>
      <c r="F14" s="14">
        <v>640000</v>
      </c>
      <c r="G14" s="15">
        <f>+G79</f>
        <v>638600</v>
      </c>
      <c r="H14" s="16">
        <f t="shared" si="2"/>
        <v>-1400</v>
      </c>
      <c r="I14" s="17">
        <f>+H14+G$56</f>
        <v>-1400</v>
      </c>
      <c r="J14" s="7"/>
      <c r="K14" s="18"/>
      <c r="L14" s="19"/>
      <c r="M14" s="19"/>
      <c r="N14" s="19"/>
      <c r="O14" s="19"/>
      <c r="P14" s="19"/>
      <c r="Q14" s="19"/>
      <c r="R14" s="19"/>
      <c r="S14" s="19"/>
      <c r="T14" s="19"/>
      <c r="U14" s="20"/>
      <c r="V14" s="20"/>
      <c r="W14" s="20"/>
      <c r="X14" s="7"/>
      <c r="Y14" s="7"/>
    </row>
    <row r="15" spans="1:25" x14ac:dyDescent="0.3">
      <c r="A15" s="1"/>
      <c r="B15" s="1"/>
      <c r="C15" s="11"/>
      <c r="D15" s="12">
        <v>7</v>
      </c>
      <c r="E15" s="13" t="s">
        <v>22</v>
      </c>
      <c r="F15" s="14">
        <v>230000</v>
      </c>
      <c r="G15" s="15">
        <f>+H79</f>
        <v>230000</v>
      </c>
      <c r="H15" s="16">
        <f t="shared" si="2"/>
        <v>0</v>
      </c>
      <c r="I15" s="17">
        <f>+H15+H$56</f>
        <v>0</v>
      </c>
      <c r="J15" s="7"/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20"/>
      <c r="V15" s="20"/>
      <c r="W15" s="20"/>
      <c r="X15" s="7"/>
      <c r="Y15" s="7"/>
    </row>
    <row r="16" spans="1:25" x14ac:dyDescent="0.3">
      <c r="A16" s="1"/>
      <c r="B16" s="1"/>
      <c r="C16" s="11"/>
      <c r="D16" s="12">
        <v>8</v>
      </c>
      <c r="E16" s="13" t="s">
        <v>23</v>
      </c>
      <c r="F16" s="14">
        <v>794000</v>
      </c>
      <c r="G16" s="15">
        <f>+I79</f>
        <v>794000</v>
      </c>
      <c r="H16" s="16">
        <f t="shared" si="2"/>
        <v>0</v>
      </c>
      <c r="I16" s="17">
        <f>+H16+I$56</f>
        <v>0</v>
      </c>
      <c r="J16" s="7"/>
      <c r="K16" s="18"/>
      <c r="L16" s="19"/>
      <c r="M16" s="19"/>
      <c r="N16" s="19"/>
      <c r="O16" s="19"/>
      <c r="P16" s="19"/>
      <c r="Q16" s="19"/>
      <c r="R16" s="19"/>
      <c r="S16" s="19"/>
      <c r="T16" s="19"/>
      <c r="U16" s="20"/>
      <c r="V16" s="20"/>
      <c r="W16" s="20"/>
      <c r="X16" s="7"/>
      <c r="Y16" s="7"/>
    </row>
    <row r="17" spans="1:25" x14ac:dyDescent="0.3">
      <c r="A17" s="1"/>
      <c r="B17" s="1"/>
      <c r="C17" s="11"/>
      <c r="D17" s="12">
        <v>9</v>
      </c>
      <c r="E17" s="13" t="s">
        <v>24</v>
      </c>
      <c r="F17" s="14">
        <v>855000</v>
      </c>
      <c r="G17" s="15">
        <f>+J79</f>
        <v>854000</v>
      </c>
      <c r="H17" s="16">
        <f t="shared" si="2"/>
        <v>-1000</v>
      </c>
      <c r="I17" s="17">
        <f>+H17+J$56</f>
        <v>-1000</v>
      </c>
      <c r="J17" s="7"/>
      <c r="K17" s="18"/>
      <c r="L17" s="19"/>
      <c r="M17" s="19"/>
      <c r="N17" s="19"/>
      <c r="O17" s="19"/>
      <c r="P17" s="19"/>
      <c r="Q17" s="19"/>
      <c r="R17" s="19"/>
      <c r="S17" s="19"/>
      <c r="T17" s="19"/>
      <c r="U17" s="20"/>
      <c r="V17" s="20"/>
      <c r="W17" s="20"/>
      <c r="X17" s="7"/>
      <c r="Y17" s="7"/>
    </row>
    <row r="18" spans="1:25" x14ac:dyDescent="0.3">
      <c r="A18" s="1"/>
      <c r="B18" s="23"/>
      <c r="C18" s="11"/>
      <c r="D18" s="12">
        <v>10</v>
      </c>
      <c r="E18" s="13" t="s">
        <v>25</v>
      </c>
      <c r="F18" s="14">
        <v>818000</v>
      </c>
      <c r="G18" s="15">
        <f>+K79</f>
        <v>820000</v>
      </c>
      <c r="H18" s="16">
        <f t="shared" si="2"/>
        <v>2000</v>
      </c>
      <c r="I18" s="17">
        <f>+H18+K$56</f>
        <v>2000</v>
      </c>
      <c r="J18" s="7"/>
      <c r="K18" s="18"/>
      <c r="L18" s="19"/>
      <c r="M18" s="19"/>
      <c r="N18" s="19"/>
      <c r="O18" s="19"/>
      <c r="P18" s="19"/>
      <c r="Q18" s="19"/>
      <c r="R18" s="19"/>
      <c r="S18" s="19"/>
      <c r="T18" s="19"/>
      <c r="U18" s="20"/>
      <c r="V18" s="20"/>
      <c r="W18" s="20"/>
      <c r="X18" s="7"/>
      <c r="Y18" s="7"/>
    </row>
    <row r="19" spans="1:25" x14ac:dyDescent="0.3">
      <c r="A19" s="1"/>
      <c r="B19" s="23"/>
      <c r="C19" s="11"/>
      <c r="D19" s="12">
        <v>11</v>
      </c>
      <c r="E19" s="13" t="s">
        <v>26</v>
      </c>
      <c r="F19" s="14">
        <v>1731000</v>
      </c>
      <c r="G19" s="15">
        <f>+L79</f>
        <v>1731000</v>
      </c>
      <c r="H19" s="16">
        <f t="shared" si="2"/>
        <v>0</v>
      </c>
      <c r="I19" s="17">
        <f>+H19+L$56</f>
        <v>0</v>
      </c>
      <c r="J19" s="7"/>
      <c r="K19" s="18"/>
      <c r="L19" s="19"/>
      <c r="M19" s="19"/>
      <c r="N19" s="19"/>
      <c r="O19" s="19"/>
      <c r="P19" s="19"/>
      <c r="Q19" s="19"/>
      <c r="R19" s="19"/>
      <c r="S19" s="19"/>
      <c r="T19" s="19"/>
      <c r="U19" s="20"/>
      <c r="V19" s="20"/>
      <c r="W19" s="20"/>
      <c r="X19" s="7"/>
      <c r="Y19" s="7"/>
    </row>
    <row r="20" spans="1:25" x14ac:dyDescent="0.3">
      <c r="A20" s="1"/>
      <c r="B20" s="24"/>
      <c r="C20" s="25"/>
      <c r="D20" s="12">
        <v>12</v>
      </c>
      <c r="E20" s="13" t="s">
        <v>27</v>
      </c>
      <c r="F20" s="14">
        <v>200000</v>
      </c>
      <c r="G20" s="26">
        <f>+M79</f>
        <v>200000</v>
      </c>
      <c r="H20" s="16">
        <f t="shared" si="2"/>
        <v>0</v>
      </c>
      <c r="I20" s="17">
        <f>+H20+M$56</f>
        <v>0</v>
      </c>
      <c r="J20" s="7"/>
      <c r="K20" s="18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20"/>
      <c r="W20" s="20"/>
      <c r="X20" s="7"/>
      <c r="Y20" s="7"/>
    </row>
    <row r="21" spans="1:25" x14ac:dyDescent="0.3">
      <c r="A21" s="1"/>
      <c r="B21" s="1"/>
      <c r="C21" s="1"/>
      <c r="D21" s="12">
        <v>13</v>
      </c>
      <c r="E21" s="13" t="s">
        <v>28</v>
      </c>
      <c r="F21" s="27">
        <v>600000</v>
      </c>
      <c r="G21" s="26">
        <f>+N79</f>
        <v>600000</v>
      </c>
      <c r="H21" s="16">
        <f t="shared" si="2"/>
        <v>0</v>
      </c>
      <c r="I21" s="17">
        <f>+H21+N$56</f>
        <v>0</v>
      </c>
      <c r="J21" s="7"/>
      <c r="K21" s="18"/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20"/>
      <c r="W21" s="20"/>
      <c r="X21" s="7"/>
      <c r="Y21" s="7"/>
    </row>
    <row r="22" spans="1:25" x14ac:dyDescent="0.3">
      <c r="A22" s="1"/>
      <c r="B22" s="1"/>
      <c r="C22" s="1"/>
      <c r="D22" s="12">
        <v>14</v>
      </c>
      <c r="E22" s="13" t="s">
        <v>29</v>
      </c>
      <c r="F22" s="27">
        <v>1</v>
      </c>
      <c r="G22" s="15">
        <f>+O79</f>
        <v>0</v>
      </c>
      <c r="H22" s="16">
        <f t="shared" si="2"/>
        <v>-1</v>
      </c>
      <c r="I22" s="17">
        <f>+H22+O$56</f>
        <v>-1</v>
      </c>
      <c r="J22" s="7"/>
      <c r="K22" s="18"/>
      <c r="L22" s="19"/>
      <c r="M22" s="19"/>
      <c r="N22" s="19"/>
      <c r="O22" s="19"/>
      <c r="P22" s="19"/>
      <c r="Q22" s="19"/>
      <c r="R22" s="19"/>
      <c r="S22" s="19"/>
      <c r="T22" s="19"/>
      <c r="U22" s="20"/>
      <c r="V22" s="7"/>
      <c r="W22" s="7"/>
      <c r="X22" s="7"/>
      <c r="Y22" s="7"/>
    </row>
    <row r="23" spans="1:25" x14ac:dyDescent="0.3">
      <c r="A23" s="1"/>
      <c r="B23" s="1"/>
      <c r="C23" s="1"/>
      <c r="D23" s="12">
        <v>15</v>
      </c>
      <c r="E23" s="28"/>
      <c r="F23" s="29"/>
      <c r="G23" s="15">
        <f>+P79</f>
        <v>0</v>
      </c>
      <c r="H23" s="16">
        <f t="shared" si="2"/>
        <v>0</v>
      </c>
      <c r="I23" s="17">
        <f t="shared" ref="I23:I24" si="3">+H23+N$56</f>
        <v>0</v>
      </c>
      <c r="J23" s="7"/>
      <c r="K23" s="18"/>
      <c r="L23" s="19"/>
      <c r="M23" s="19"/>
      <c r="N23" s="19"/>
      <c r="O23" s="19"/>
      <c r="P23" s="19"/>
      <c r="Q23" s="19"/>
      <c r="R23" s="19"/>
      <c r="S23" s="19"/>
      <c r="T23" s="19"/>
      <c r="U23" s="20"/>
      <c r="V23" s="7"/>
      <c r="W23" s="7"/>
      <c r="X23" s="7"/>
      <c r="Y23" s="7"/>
    </row>
    <row r="24" spans="1:25" x14ac:dyDescent="0.3">
      <c r="A24" s="1"/>
      <c r="B24" s="1"/>
      <c r="C24" s="1"/>
      <c r="D24" s="12">
        <v>16</v>
      </c>
      <c r="E24" s="30"/>
      <c r="F24" s="31"/>
      <c r="G24" s="32">
        <f>+Q79</f>
        <v>0</v>
      </c>
      <c r="H24" s="33">
        <f t="shared" si="2"/>
        <v>0</v>
      </c>
      <c r="I24" s="12">
        <f t="shared" si="3"/>
        <v>0</v>
      </c>
      <c r="J24" s="7"/>
      <c r="K24" s="18"/>
      <c r="L24" s="19"/>
      <c r="M24" s="19"/>
      <c r="N24" s="19"/>
      <c r="O24" s="19"/>
      <c r="P24" s="19"/>
      <c r="Q24" s="19"/>
      <c r="R24" s="19"/>
      <c r="S24" s="19"/>
      <c r="T24" s="19"/>
      <c r="U24" s="7"/>
      <c r="V24" s="7"/>
      <c r="W24" s="7"/>
      <c r="X24" s="7"/>
      <c r="Y24" s="7"/>
    </row>
    <row r="25" spans="1:25" x14ac:dyDescent="0.3">
      <c r="A25" s="1"/>
      <c r="B25" s="1"/>
      <c r="C25" s="1"/>
      <c r="D25" s="12">
        <v>17</v>
      </c>
      <c r="E25" s="34"/>
      <c r="F25" s="33"/>
      <c r="G25" s="33">
        <f>+R79</f>
        <v>0</v>
      </c>
      <c r="H25" s="33">
        <f t="shared" si="2"/>
        <v>0</v>
      </c>
      <c r="I25" s="12">
        <f t="shared" ref="I25:I28" si="4">+H25</f>
        <v>0</v>
      </c>
      <c r="J25" s="4"/>
      <c r="K25" s="18"/>
      <c r="L25" s="19"/>
      <c r="M25" s="19"/>
      <c r="N25" s="19"/>
      <c r="O25" s="19"/>
      <c r="P25" s="19"/>
      <c r="Q25" s="19"/>
      <c r="R25" s="19"/>
      <c r="S25" s="19"/>
      <c r="T25" s="19"/>
      <c r="U25" s="4"/>
      <c r="V25" s="4"/>
      <c r="W25" s="4"/>
      <c r="X25" s="4"/>
      <c r="Y25" s="4"/>
    </row>
    <row r="26" spans="1:25" x14ac:dyDescent="0.3">
      <c r="A26" s="1"/>
      <c r="B26" s="1"/>
      <c r="C26" s="1"/>
      <c r="D26" s="12">
        <v>18</v>
      </c>
      <c r="E26" s="34"/>
      <c r="F26" s="33"/>
      <c r="G26" s="33">
        <f>+S80</f>
        <v>0</v>
      </c>
      <c r="H26" s="33">
        <f t="shared" si="2"/>
        <v>0</v>
      </c>
      <c r="I26" s="12">
        <f t="shared" si="4"/>
        <v>0</v>
      </c>
      <c r="J26" s="4"/>
      <c r="K26" s="21"/>
      <c r="L26" s="22"/>
      <c r="M26" s="22"/>
      <c r="N26" s="22"/>
      <c r="O26" s="22"/>
      <c r="P26" s="22"/>
      <c r="Q26" s="22"/>
      <c r="R26" s="22"/>
      <c r="S26" s="22"/>
      <c r="T26" s="22"/>
      <c r="U26" s="4"/>
      <c r="V26" s="4"/>
      <c r="W26" s="4"/>
      <c r="X26" s="4"/>
      <c r="Y26" s="4"/>
    </row>
    <row r="27" spans="1:25" x14ac:dyDescent="0.3">
      <c r="A27" s="1"/>
      <c r="B27" s="1"/>
      <c r="C27" s="1"/>
      <c r="D27" s="12">
        <v>19</v>
      </c>
      <c r="E27" s="34"/>
      <c r="F27" s="33"/>
      <c r="G27" s="33">
        <f>+T78</f>
        <v>0</v>
      </c>
      <c r="H27" s="33">
        <f t="shared" si="2"/>
        <v>0</v>
      </c>
      <c r="I27" s="12">
        <f t="shared" si="4"/>
        <v>0</v>
      </c>
      <c r="J27" s="1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1"/>
      <c r="V27" s="1"/>
      <c r="W27" s="1"/>
      <c r="X27" s="1"/>
      <c r="Y27" s="1"/>
    </row>
    <row r="28" spans="1:25" x14ac:dyDescent="0.3">
      <c r="A28" s="1"/>
      <c r="B28" s="1"/>
      <c r="C28" s="1"/>
      <c r="D28" s="12">
        <v>20</v>
      </c>
      <c r="E28" s="36"/>
      <c r="F28" s="33"/>
      <c r="G28" s="33">
        <f>+U79</f>
        <v>0</v>
      </c>
      <c r="H28" s="33">
        <f t="shared" si="2"/>
        <v>0</v>
      </c>
      <c r="I28" s="12">
        <f t="shared" si="4"/>
        <v>0</v>
      </c>
      <c r="J28" s="1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37"/>
      <c r="E29" s="37" t="s">
        <v>30</v>
      </c>
      <c r="F29" s="37">
        <f>SUM(F9:F28)</f>
        <v>9368003</v>
      </c>
      <c r="G29" s="37">
        <f t="shared" ref="G29:I29" si="5">SUM(G9:G28)</f>
        <v>9355600</v>
      </c>
      <c r="H29" s="37">
        <f>SUM(H9:H28)</f>
        <v>-12403</v>
      </c>
      <c r="I29" s="37">
        <f t="shared" si="5"/>
        <v>-12403</v>
      </c>
      <c r="J29" s="1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38"/>
      <c r="B32" s="38">
        <v>1</v>
      </c>
      <c r="C32" s="38">
        <v>2</v>
      </c>
      <c r="D32" s="38">
        <v>3</v>
      </c>
      <c r="E32" s="38">
        <v>4</v>
      </c>
      <c r="F32" s="38">
        <v>5</v>
      </c>
      <c r="G32" s="38">
        <v>6</v>
      </c>
      <c r="H32" s="38">
        <v>7</v>
      </c>
      <c r="I32" s="38">
        <v>8</v>
      </c>
      <c r="J32" s="38">
        <v>9</v>
      </c>
      <c r="K32" s="38">
        <v>10</v>
      </c>
      <c r="L32" s="38">
        <v>11</v>
      </c>
      <c r="M32" s="38">
        <v>12</v>
      </c>
      <c r="N32" s="38">
        <v>13</v>
      </c>
      <c r="O32" s="38">
        <v>14</v>
      </c>
      <c r="P32" s="38">
        <v>15</v>
      </c>
      <c r="Q32" s="38">
        <v>16</v>
      </c>
      <c r="R32" s="38">
        <v>17</v>
      </c>
      <c r="S32" s="38">
        <v>18</v>
      </c>
      <c r="T32" s="38">
        <v>19</v>
      </c>
      <c r="U32" s="38">
        <v>20</v>
      </c>
      <c r="V32" s="39" t="str">
        <f>+E29</f>
        <v>Total general</v>
      </c>
      <c r="W32" s="40"/>
      <c r="X32" s="40"/>
      <c r="Y32" s="40"/>
    </row>
    <row r="33" spans="1:25" x14ac:dyDescent="0.3">
      <c r="A33" s="41"/>
      <c r="B33" s="41" t="str">
        <f>+E9</f>
        <v>21-feb</v>
      </c>
      <c r="C33" s="41" t="str">
        <f>+E10</f>
        <v>23-feb</v>
      </c>
      <c r="D33" s="41" t="str">
        <f>+E11</f>
        <v>24-feb</v>
      </c>
      <c r="E33" s="41" t="str">
        <f>+E12</f>
        <v>25-feb</v>
      </c>
      <c r="F33" s="41" t="str">
        <f>+E13</f>
        <v>26-feb</v>
      </c>
      <c r="G33" s="41" t="str">
        <f>+E14</f>
        <v>27-feb</v>
      </c>
      <c r="H33" s="41" t="str">
        <f>+E15</f>
        <v>28-feb</v>
      </c>
      <c r="I33" s="41" t="str">
        <f>+E16</f>
        <v>2-mar</v>
      </c>
      <c r="J33" s="41" t="str">
        <f>+E17</f>
        <v>4-mar</v>
      </c>
      <c r="K33" s="41" t="str">
        <f>+E18</f>
        <v>5-mar</v>
      </c>
      <c r="L33" s="41" t="str">
        <f>+E19</f>
        <v>6-mar</v>
      </c>
      <c r="M33" s="41" t="str">
        <f>+E20</f>
        <v>7-mar</v>
      </c>
      <c r="N33" s="41" t="str">
        <f>+E21</f>
        <v>10-mar</v>
      </c>
      <c r="O33" s="41" t="str">
        <f>+E22</f>
        <v>11-mar</v>
      </c>
      <c r="P33" s="41">
        <f>+E23</f>
        <v>0</v>
      </c>
      <c r="Q33" s="41">
        <f>+E24</f>
        <v>0</v>
      </c>
      <c r="R33" s="41">
        <f>+E25</f>
        <v>0</v>
      </c>
      <c r="S33" s="41">
        <f>+C28</f>
        <v>0</v>
      </c>
      <c r="T33" s="41">
        <f>+E25</f>
        <v>0</v>
      </c>
      <c r="U33" s="41">
        <f>+E28</f>
        <v>0</v>
      </c>
      <c r="V33" s="39"/>
      <c r="W33" s="42"/>
      <c r="X33" s="42"/>
      <c r="Y33" s="42"/>
    </row>
    <row r="34" spans="1:25" x14ac:dyDescent="0.3">
      <c r="A34" s="43">
        <v>100000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2</v>
      </c>
      <c r="I34" s="12">
        <v>0</v>
      </c>
      <c r="J34" s="12">
        <v>2</v>
      </c>
      <c r="K34" s="12">
        <v>5</v>
      </c>
      <c r="L34" s="12">
        <v>1</v>
      </c>
      <c r="M34" s="12">
        <v>0</v>
      </c>
      <c r="N34" s="12">
        <v>6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f>SUM(B34:U34)</f>
        <v>16</v>
      </c>
      <c r="W34" s="1"/>
      <c r="X34" s="1"/>
      <c r="Y34" s="1"/>
    </row>
    <row r="35" spans="1:25" x14ac:dyDescent="0.3">
      <c r="A35" s="43">
        <v>50000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5</v>
      </c>
      <c r="H35" s="12">
        <v>0</v>
      </c>
      <c r="I35" s="12">
        <v>0</v>
      </c>
      <c r="J35" s="12">
        <v>2</v>
      </c>
      <c r="K35" s="12">
        <v>6</v>
      </c>
      <c r="L35" s="12">
        <v>8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f t="shared" ref="V35:V44" si="6">SUM(B35:U35)</f>
        <v>22</v>
      </c>
      <c r="W35" s="1"/>
      <c r="X35" s="1"/>
      <c r="Y35" s="1"/>
    </row>
    <row r="36" spans="1:25" x14ac:dyDescent="0.3">
      <c r="A36" s="43">
        <v>20000</v>
      </c>
      <c r="B36" s="12">
        <v>1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</v>
      </c>
      <c r="I36" s="12">
        <v>2</v>
      </c>
      <c r="J36" s="12">
        <v>0</v>
      </c>
      <c r="K36" s="12">
        <v>1</v>
      </c>
      <c r="L36" s="12">
        <v>14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f t="shared" si="6"/>
        <v>19</v>
      </c>
      <c r="W36" s="1"/>
      <c r="X36" s="1"/>
      <c r="Y36" s="1"/>
    </row>
    <row r="37" spans="1:25" x14ac:dyDescent="0.3">
      <c r="A37" s="43">
        <v>10000</v>
      </c>
      <c r="B37" s="12">
        <v>1</v>
      </c>
      <c r="C37" s="12">
        <v>0</v>
      </c>
      <c r="D37" s="12">
        <v>0</v>
      </c>
      <c r="E37" s="12">
        <v>0</v>
      </c>
      <c r="F37" s="12">
        <v>0</v>
      </c>
      <c r="G37" s="12">
        <v>3</v>
      </c>
      <c r="H37" s="12">
        <v>1</v>
      </c>
      <c r="I37" s="12">
        <v>2</v>
      </c>
      <c r="J37" s="12">
        <v>0</v>
      </c>
      <c r="K37" s="12">
        <v>0</v>
      </c>
      <c r="L37" s="12">
        <v>4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f t="shared" si="6"/>
        <v>11</v>
      </c>
      <c r="W37" s="1"/>
      <c r="X37" s="1"/>
      <c r="Y37" s="1"/>
    </row>
    <row r="38" spans="1:25" x14ac:dyDescent="0.3">
      <c r="A38" s="43">
        <v>5000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2</v>
      </c>
      <c r="H38" s="12">
        <v>0</v>
      </c>
      <c r="I38" s="12">
        <v>0</v>
      </c>
      <c r="J38" s="12">
        <v>0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f t="shared" si="6"/>
        <v>3</v>
      </c>
      <c r="W38" s="1"/>
      <c r="X38" s="1"/>
      <c r="Y38" s="1"/>
    </row>
    <row r="39" spans="1:25" x14ac:dyDescent="0.3">
      <c r="A39" s="43">
        <v>2000</v>
      </c>
      <c r="B39" s="12">
        <v>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2</v>
      </c>
      <c r="J39" s="12">
        <v>2</v>
      </c>
      <c r="K39" s="12">
        <v>0</v>
      </c>
      <c r="L39" s="12">
        <v>2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f t="shared" si="6"/>
        <v>9</v>
      </c>
      <c r="W39" s="1"/>
      <c r="X39" s="1"/>
      <c r="Y39" s="1"/>
    </row>
    <row r="40" spans="1:25" x14ac:dyDescent="0.3">
      <c r="A40" s="43">
        <v>1000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f t="shared" si="6"/>
        <v>0</v>
      </c>
      <c r="W40" s="1"/>
      <c r="X40" s="1"/>
      <c r="Y40" s="1"/>
    </row>
    <row r="41" spans="1:25" x14ac:dyDescent="0.3">
      <c r="A41" s="43">
        <v>1000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1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f t="shared" si="6"/>
        <v>1</v>
      </c>
      <c r="W41" s="1"/>
      <c r="X41" s="1"/>
      <c r="Y41" s="1"/>
    </row>
    <row r="42" spans="1:25" x14ac:dyDescent="0.3">
      <c r="A42" s="43">
        <v>500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52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f t="shared" si="6"/>
        <v>52</v>
      </c>
      <c r="W42" s="1"/>
      <c r="X42" s="1"/>
      <c r="Y42" s="1"/>
    </row>
    <row r="43" spans="1:25" x14ac:dyDescent="0.3">
      <c r="A43" s="43">
        <v>200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31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f t="shared" si="6"/>
        <v>31</v>
      </c>
      <c r="W43" s="1"/>
      <c r="X43" s="1"/>
      <c r="Y43" s="1"/>
    </row>
    <row r="44" spans="1:25" x14ac:dyDescent="0.3">
      <c r="A44" s="43">
        <v>100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f t="shared" si="6"/>
        <v>4</v>
      </c>
      <c r="W44" s="1"/>
      <c r="X44" s="1"/>
      <c r="Y44" s="1"/>
    </row>
    <row r="45" spans="1:25" x14ac:dyDescent="0.3">
      <c r="A45" s="43">
        <v>50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f>SUM(B45:U45)</f>
        <v>0</v>
      </c>
      <c r="W45" s="1"/>
      <c r="X45" s="1"/>
      <c r="Y45" s="1"/>
    </row>
    <row r="46" spans="1:25" x14ac:dyDescent="0.3">
      <c r="A46" s="43" t="s">
        <v>1</v>
      </c>
      <c r="B46" s="12">
        <v>1150000</v>
      </c>
      <c r="C46" s="12">
        <v>0</v>
      </c>
      <c r="D46" s="12">
        <v>0</v>
      </c>
      <c r="E46" s="12">
        <v>150000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f t="shared" ref="V46:V56" si="7">SUM(B46:U46)</f>
        <v>1300000</v>
      </c>
      <c r="W46" s="1"/>
      <c r="X46" s="1"/>
      <c r="Y46" s="1"/>
    </row>
    <row r="47" spans="1:25" x14ac:dyDescent="0.3">
      <c r="A47" s="43" t="s">
        <v>2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f t="shared" si="7"/>
        <v>0</v>
      </c>
      <c r="W47" s="1"/>
      <c r="X47" s="1"/>
      <c r="Y47" s="1"/>
    </row>
    <row r="48" spans="1:25" x14ac:dyDescent="0.3">
      <c r="A48" s="43" t="s">
        <v>3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f t="shared" si="7"/>
        <v>0</v>
      </c>
      <c r="W48" s="1"/>
      <c r="X48" s="1"/>
      <c r="Y48" s="1"/>
    </row>
    <row r="49" spans="1:25" x14ac:dyDescent="0.3">
      <c r="A49" s="43" t="s">
        <v>4</v>
      </c>
      <c r="B49" s="12">
        <v>0</v>
      </c>
      <c r="C49" s="12">
        <v>80000</v>
      </c>
      <c r="D49" s="12">
        <v>0</v>
      </c>
      <c r="E49" s="12">
        <v>50000</v>
      </c>
      <c r="F49" s="12">
        <v>0</v>
      </c>
      <c r="G49" s="12">
        <v>315000</v>
      </c>
      <c r="H49" s="12">
        <v>0</v>
      </c>
      <c r="I49" s="12">
        <v>730000</v>
      </c>
      <c r="J49" s="12">
        <v>550000</v>
      </c>
      <c r="K49" s="12">
        <v>0</v>
      </c>
      <c r="L49" s="12">
        <v>342000</v>
      </c>
      <c r="M49" s="44">
        <v>200000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f t="shared" si="7"/>
        <v>2267000</v>
      </c>
      <c r="W49" s="1"/>
      <c r="X49" s="1"/>
      <c r="Y49" s="1"/>
    </row>
    <row r="50" spans="1:25" x14ac:dyDescent="0.3">
      <c r="A50" s="43" t="s">
        <v>31</v>
      </c>
      <c r="B50" s="12">
        <v>0</v>
      </c>
      <c r="C50" s="12">
        <v>0</v>
      </c>
      <c r="D50" s="12">
        <v>490000</v>
      </c>
      <c r="E50" s="12">
        <v>0</v>
      </c>
      <c r="F50" s="12">
        <v>1088000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560000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f t="shared" si="7"/>
        <v>2138000</v>
      </c>
      <c r="W50" s="1"/>
      <c r="X50" s="1"/>
      <c r="Y50" s="1"/>
    </row>
    <row r="51" spans="1:25" x14ac:dyDescent="0.3">
      <c r="A51" s="43" t="s">
        <v>32</v>
      </c>
      <c r="B51" s="12">
        <v>0</v>
      </c>
      <c r="C51" s="12">
        <v>390000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f t="shared" si="7"/>
        <v>390000</v>
      </c>
      <c r="W51" s="1"/>
      <c r="X51" s="1"/>
      <c r="Y51" s="1"/>
    </row>
    <row r="52" spans="1:25" x14ac:dyDescent="0.3">
      <c r="A52" s="43" t="s">
        <v>33</v>
      </c>
      <c r="B52" s="12">
        <v>4000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f t="shared" si="7"/>
        <v>4000</v>
      </c>
      <c r="W52" s="1"/>
      <c r="X52" s="1"/>
      <c r="Y52" s="1"/>
    </row>
    <row r="53" spans="1:25" x14ac:dyDescent="0.3">
      <c r="A53" s="43" t="s">
        <v>34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f t="shared" si="7"/>
        <v>0</v>
      </c>
      <c r="W53" s="1"/>
      <c r="X53" s="1"/>
      <c r="Y53" s="1"/>
    </row>
    <row r="54" spans="1:25" x14ac:dyDescent="0.3">
      <c r="A54" s="43" t="s">
        <v>35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/>
      <c r="W54" s="1"/>
      <c r="X54" s="1"/>
      <c r="Y54" s="1"/>
    </row>
    <row r="55" spans="1:25" x14ac:dyDescent="0.3">
      <c r="A55" s="43" t="s">
        <v>36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f t="shared" si="7"/>
        <v>0</v>
      </c>
      <c r="W55" s="1"/>
      <c r="X55" s="1"/>
      <c r="Y55" s="1"/>
    </row>
    <row r="56" spans="1:25" x14ac:dyDescent="0.3">
      <c r="A56" s="43" t="s">
        <v>9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f t="shared" si="7"/>
        <v>0</v>
      </c>
      <c r="W56" s="1"/>
      <c r="X56" s="1"/>
      <c r="Y56" s="1"/>
    </row>
    <row r="57" spans="1:25" x14ac:dyDescent="0.3">
      <c r="A57" s="4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41"/>
      <c r="B58" s="46" t="str">
        <f t="shared" ref="B58:U58" si="8">+B33</f>
        <v>21-feb</v>
      </c>
      <c r="C58" s="46" t="str">
        <f t="shared" si="8"/>
        <v>23-feb</v>
      </c>
      <c r="D58" s="46" t="str">
        <f t="shared" si="8"/>
        <v>24-feb</v>
      </c>
      <c r="E58" s="46" t="str">
        <f t="shared" si="8"/>
        <v>25-feb</v>
      </c>
      <c r="F58" s="46" t="str">
        <f t="shared" si="8"/>
        <v>26-feb</v>
      </c>
      <c r="G58" s="46" t="str">
        <f t="shared" si="8"/>
        <v>27-feb</v>
      </c>
      <c r="H58" s="46" t="str">
        <f>+H33</f>
        <v>28-feb</v>
      </c>
      <c r="I58" s="46" t="str">
        <f t="shared" si="8"/>
        <v>2-mar</v>
      </c>
      <c r="J58" s="46" t="str">
        <f t="shared" si="8"/>
        <v>4-mar</v>
      </c>
      <c r="K58" s="46" t="str">
        <f t="shared" si="8"/>
        <v>5-mar</v>
      </c>
      <c r="L58" s="46" t="str">
        <f t="shared" si="8"/>
        <v>6-mar</v>
      </c>
      <c r="M58" s="46" t="str">
        <f t="shared" si="8"/>
        <v>7-mar</v>
      </c>
      <c r="N58" s="46" t="str">
        <f t="shared" si="8"/>
        <v>10-mar</v>
      </c>
      <c r="O58" s="46" t="str">
        <f t="shared" si="8"/>
        <v>11-mar</v>
      </c>
      <c r="P58" s="46">
        <f t="shared" si="8"/>
        <v>0</v>
      </c>
      <c r="Q58" s="46">
        <f t="shared" si="8"/>
        <v>0</v>
      </c>
      <c r="R58" s="46">
        <f t="shared" si="8"/>
        <v>0</v>
      </c>
      <c r="S58" s="46">
        <f t="shared" si="8"/>
        <v>0</v>
      </c>
      <c r="T58" s="46">
        <f t="shared" si="8"/>
        <v>0</v>
      </c>
      <c r="U58" s="46">
        <f t="shared" si="8"/>
        <v>0</v>
      </c>
      <c r="V58" s="46" t="str">
        <f>+V32</f>
        <v>Total general</v>
      </c>
      <c r="W58" s="40"/>
      <c r="X58" s="40"/>
      <c r="Y58" s="40"/>
    </row>
    <row r="59" spans="1:25" x14ac:dyDescent="0.3">
      <c r="A59" s="43">
        <v>100000</v>
      </c>
      <c r="B59" s="12">
        <f>+$A$34*B34</f>
        <v>0</v>
      </c>
      <c r="C59" s="12">
        <f>+$A$34*C34</f>
        <v>0</v>
      </c>
      <c r="D59" s="12">
        <f>+$A$34*D34</f>
        <v>0</v>
      </c>
      <c r="E59" s="12">
        <f>+$A$34*E34</f>
        <v>0</v>
      </c>
      <c r="F59" s="12">
        <f t="shared" ref="F59:U59" si="9">+$A$34*F34</f>
        <v>0</v>
      </c>
      <c r="G59" s="12">
        <f t="shared" si="9"/>
        <v>0</v>
      </c>
      <c r="H59" s="12">
        <f>+$A$34*H34</f>
        <v>200000</v>
      </c>
      <c r="I59" s="12">
        <f t="shared" si="9"/>
        <v>0</v>
      </c>
      <c r="J59" s="12">
        <f t="shared" si="9"/>
        <v>200000</v>
      </c>
      <c r="K59" s="12">
        <f t="shared" si="9"/>
        <v>500000</v>
      </c>
      <c r="L59" s="12">
        <f t="shared" si="9"/>
        <v>100000</v>
      </c>
      <c r="M59" s="12">
        <f t="shared" si="9"/>
        <v>0</v>
      </c>
      <c r="N59" s="12">
        <f t="shared" si="9"/>
        <v>600000</v>
      </c>
      <c r="O59" s="12">
        <f t="shared" si="9"/>
        <v>0</v>
      </c>
      <c r="P59" s="12">
        <f t="shared" si="9"/>
        <v>0</v>
      </c>
      <c r="Q59" s="12">
        <f t="shared" si="9"/>
        <v>0</v>
      </c>
      <c r="R59" s="12">
        <f t="shared" si="9"/>
        <v>0</v>
      </c>
      <c r="S59" s="12">
        <f t="shared" si="9"/>
        <v>0</v>
      </c>
      <c r="T59" s="12">
        <f t="shared" si="9"/>
        <v>0</v>
      </c>
      <c r="U59" s="12">
        <f t="shared" si="9"/>
        <v>0</v>
      </c>
      <c r="V59" s="12">
        <f>SUM(B59:U59)</f>
        <v>1600000</v>
      </c>
      <c r="W59" s="1"/>
      <c r="X59" s="1"/>
      <c r="Y59" s="1"/>
    </row>
    <row r="60" spans="1:25" x14ac:dyDescent="0.3">
      <c r="A60" s="43">
        <v>50000</v>
      </c>
      <c r="B60" s="12">
        <f>+$A$35*B35</f>
        <v>50000</v>
      </c>
      <c r="C60" s="12">
        <f>+$A$35*C35</f>
        <v>0</v>
      </c>
      <c r="D60" s="12">
        <f>+$A$35*D35</f>
        <v>0</v>
      </c>
      <c r="E60" s="12">
        <f t="shared" ref="E60:U60" si="10">+$A$35*E35</f>
        <v>0</v>
      </c>
      <c r="F60" s="12">
        <f t="shared" si="10"/>
        <v>0</v>
      </c>
      <c r="G60" s="12">
        <f t="shared" si="10"/>
        <v>250000</v>
      </c>
      <c r="H60" s="12">
        <f>+$A$35*H35</f>
        <v>0</v>
      </c>
      <c r="I60" s="12">
        <f t="shared" si="10"/>
        <v>0</v>
      </c>
      <c r="J60" s="12">
        <f t="shared" si="10"/>
        <v>100000</v>
      </c>
      <c r="K60" s="12">
        <f t="shared" si="10"/>
        <v>300000</v>
      </c>
      <c r="L60" s="12">
        <f t="shared" si="10"/>
        <v>400000</v>
      </c>
      <c r="M60" s="12">
        <f t="shared" si="10"/>
        <v>0</v>
      </c>
      <c r="N60" s="12">
        <f t="shared" si="10"/>
        <v>0</v>
      </c>
      <c r="O60" s="12">
        <f t="shared" si="10"/>
        <v>0</v>
      </c>
      <c r="P60" s="12">
        <f t="shared" si="10"/>
        <v>0</v>
      </c>
      <c r="Q60" s="12">
        <f t="shared" si="10"/>
        <v>0</v>
      </c>
      <c r="R60" s="12">
        <f t="shared" si="10"/>
        <v>0</v>
      </c>
      <c r="S60" s="12">
        <f t="shared" si="10"/>
        <v>0</v>
      </c>
      <c r="T60" s="12">
        <f t="shared" si="10"/>
        <v>0</v>
      </c>
      <c r="U60" s="12">
        <f t="shared" si="10"/>
        <v>0</v>
      </c>
      <c r="V60" s="12">
        <f t="shared" ref="V60:V69" si="11">SUM(B60:U60)</f>
        <v>1100000</v>
      </c>
      <c r="W60" s="1"/>
      <c r="X60" s="1"/>
      <c r="Y60" s="1"/>
    </row>
    <row r="61" spans="1:25" x14ac:dyDescent="0.3">
      <c r="A61" s="43">
        <v>20000</v>
      </c>
      <c r="B61" s="12">
        <f>+$A$36*B36</f>
        <v>20000</v>
      </c>
      <c r="C61" s="12">
        <f>+$A$36*C36</f>
        <v>0</v>
      </c>
      <c r="D61" s="12">
        <f>+$A$36*D36</f>
        <v>0</v>
      </c>
      <c r="E61" s="12">
        <f t="shared" ref="E61:U61" si="12">+$A$36*E36</f>
        <v>0</v>
      </c>
      <c r="F61" s="12">
        <f t="shared" si="12"/>
        <v>0</v>
      </c>
      <c r="G61" s="12">
        <f t="shared" si="12"/>
        <v>0</v>
      </c>
      <c r="H61" s="12">
        <f>+$A$36*H36</f>
        <v>20000</v>
      </c>
      <c r="I61" s="12">
        <f t="shared" si="12"/>
        <v>40000</v>
      </c>
      <c r="J61" s="12">
        <f t="shared" si="12"/>
        <v>0</v>
      </c>
      <c r="K61" s="12">
        <f t="shared" si="12"/>
        <v>20000</v>
      </c>
      <c r="L61" s="12">
        <f t="shared" si="12"/>
        <v>280000</v>
      </c>
      <c r="M61" s="12">
        <f t="shared" si="12"/>
        <v>0</v>
      </c>
      <c r="N61" s="12">
        <f t="shared" si="12"/>
        <v>0</v>
      </c>
      <c r="O61" s="12">
        <f t="shared" si="12"/>
        <v>0</v>
      </c>
      <c r="P61" s="12">
        <f t="shared" si="12"/>
        <v>0</v>
      </c>
      <c r="Q61" s="12">
        <f t="shared" si="12"/>
        <v>0</v>
      </c>
      <c r="R61" s="12">
        <f t="shared" si="12"/>
        <v>0</v>
      </c>
      <c r="S61" s="12">
        <f t="shared" si="12"/>
        <v>0</v>
      </c>
      <c r="T61" s="12">
        <f t="shared" si="12"/>
        <v>0</v>
      </c>
      <c r="U61" s="12">
        <f t="shared" si="12"/>
        <v>0</v>
      </c>
      <c r="V61" s="12">
        <f t="shared" si="11"/>
        <v>380000</v>
      </c>
      <c r="W61" s="1"/>
      <c r="X61" s="1"/>
      <c r="Y61" s="1"/>
    </row>
    <row r="62" spans="1:25" x14ac:dyDescent="0.3">
      <c r="A62" s="43">
        <v>10000</v>
      </c>
      <c r="B62" s="12">
        <f>+$A$37*B37</f>
        <v>10000</v>
      </c>
      <c r="C62" s="12">
        <f>+$A$37*C37</f>
        <v>0</v>
      </c>
      <c r="D62" s="12">
        <f>+$A$37*D37</f>
        <v>0</v>
      </c>
      <c r="E62" s="12">
        <f t="shared" ref="E62:U62" si="13">+$A$37*E37</f>
        <v>0</v>
      </c>
      <c r="F62" s="12">
        <f t="shared" si="13"/>
        <v>0</v>
      </c>
      <c r="G62" s="12">
        <f t="shared" si="13"/>
        <v>30000</v>
      </c>
      <c r="H62" s="12">
        <f>+$A$37*H37</f>
        <v>10000</v>
      </c>
      <c r="I62" s="12">
        <f t="shared" si="13"/>
        <v>20000</v>
      </c>
      <c r="J62" s="12">
        <f t="shared" si="13"/>
        <v>0</v>
      </c>
      <c r="K62" s="12">
        <f t="shared" si="13"/>
        <v>0</v>
      </c>
      <c r="L62" s="12">
        <f t="shared" si="13"/>
        <v>40000</v>
      </c>
      <c r="M62" s="12">
        <f t="shared" si="13"/>
        <v>0</v>
      </c>
      <c r="N62" s="12">
        <f t="shared" si="13"/>
        <v>0</v>
      </c>
      <c r="O62" s="12">
        <f t="shared" si="13"/>
        <v>0</v>
      </c>
      <c r="P62" s="12">
        <f t="shared" si="13"/>
        <v>0</v>
      </c>
      <c r="Q62" s="12">
        <f t="shared" si="13"/>
        <v>0</v>
      </c>
      <c r="R62" s="12">
        <f t="shared" si="13"/>
        <v>0</v>
      </c>
      <c r="S62" s="12">
        <f t="shared" si="13"/>
        <v>0</v>
      </c>
      <c r="T62" s="12">
        <f t="shared" si="13"/>
        <v>0</v>
      </c>
      <c r="U62" s="12">
        <f t="shared" si="13"/>
        <v>0</v>
      </c>
      <c r="V62" s="12">
        <f t="shared" si="11"/>
        <v>110000</v>
      </c>
      <c r="W62" s="1"/>
      <c r="X62" s="1"/>
      <c r="Y62" s="1"/>
    </row>
    <row r="63" spans="1:25" x14ac:dyDescent="0.3">
      <c r="A63" s="43">
        <v>5000</v>
      </c>
      <c r="B63" s="12">
        <f>+$A$38*B38</f>
        <v>0</v>
      </c>
      <c r="C63" s="12">
        <f>+$A$38*C38</f>
        <v>0</v>
      </c>
      <c r="D63" s="12">
        <f>+$A$38*D38</f>
        <v>0</v>
      </c>
      <c r="E63" s="12">
        <f t="shared" ref="E63:U63" si="14">+$A$38*E38</f>
        <v>0</v>
      </c>
      <c r="F63" s="12">
        <f t="shared" si="14"/>
        <v>0</v>
      </c>
      <c r="G63" s="12">
        <f t="shared" si="14"/>
        <v>10000</v>
      </c>
      <c r="H63" s="12">
        <f>+$A$38*H38</f>
        <v>0</v>
      </c>
      <c r="I63" s="12">
        <f t="shared" si="14"/>
        <v>0</v>
      </c>
      <c r="J63" s="12">
        <f t="shared" si="14"/>
        <v>0</v>
      </c>
      <c r="K63" s="12">
        <f t="shared" si="14"/>
        <v>0</v>
      </c>
      <c r="L63" s="12">
        <f t="shared" si="14"/>
        <v>5000</v>
      </c>
      <c r="M63" s="12">
        <f t="shared" si="14"/>
        <v>0</v>
      </c>
      <c r="N63" s="12">
        <f t="shared" si="14"/>
        <v>0</v>
      </c>
      <c r="O63" s="12">
        <f t="shared" si="14"/>
        <v>0</v>
      </c>
      <c r="P63" s="12">
        <f t="shared" si="14"/>
        <v>0</v>
      </c>
      <c r="Q63" s="12">
        <f t="shared" si="14"/>
        <v>0</v>
      </c>
      <c r="R63" s="12">
        <f t="shared" si="14"/>
        <v>0</v>
      </c>
      <c r="S63" s="12">
        <f t="shared" si="14"/>
        <v>0</v>
      </c>
      <c r="T63" s="12">
        <f t="shared" si="14"/>
        <v>0</v>
      </c>
      <c r="U63" s="12">
        <f t="shared" si="14"/>
        <v>0</v>
      </c>
      <c r="V63" s="12">
        <f t="shared" si="11"/>
        <v>15000</v>
      </c>
      <c r="W63" s="1"/>
      <c r="X63" s="1"/>
      <c r="Y63" s="1"/>
    </row>
    <row r="64" spans="1:25" x14ac:dyDescent="0.3">
      <c r="A64" s="43">
        <v>2000</v>
      </c>
      <c r="B64" s="12">
        <f>+$A$39*B39</f>
        <v>6000</v>
      </c>
      <c r="C64" s="12">
        <f>+$A$39*C39</f>
        <v>0</v>
      </c>
      <c r="D64" s="12">
        <f>+$A$39*D39</f>
        <v>0</v>
      </c>
      <c r="E64" s="12">
        <f t="shared" ref="E64:U64" si="15">+$A$39*E39</f>
        <v>0</v>
      </c>
      <c r="F64" s="12">
        <f t="shared" si="15"/>
        <v>0</v>
      </c>
      <c r="G64" s="12">
        <f t="shared" si="15"/>
        <v>0</v>
      </c>
      <c r="H64" s="12">
        <f>+$A$39*H39</f>
        <v>0</v>
      </c>
      <c r="I64" s="12">
        <f t="shared" si="15"/>
        <v>4000</v>
      </c>
      <c r="J64" s="12">
        <f t="shared" si="15"/>
        <v>4000</v>
      </c>
      <c r="K64" s="12">
        <f t="shared" si="15"/>
        <v>0</v>
      </c>
      <c r="L64" s="12">
        <f t="shared" si="15"/>
        <v>4000</v>
      </c>
      <c r="M64" s="12">
        <f t="shared" si="15"/>
        <v>0</v>
      </c>
      <c r="N64" s="12">
        <f t="shared" si="15"/>
        <v>0</v>
      </c>
      <c r="O64" s="12">
        <f t="shared" si="15"/>
        <v>0</v>
      </c>
      <c r="P64" s="12">
        <f t="shared" si="15"/>
        <v>0</v>
      </c>
      <c r="Q64" s="12">
        <f t="shared" si="15"/>
        <v>0</v>
      </c>
      <c r="R64" s="12">
        <f t="shared" si="15"/>
        <v>0</v>
      </c>
      <c r="S64" s="12">
        <f t="shared" si="15"/>
        <v>0</v>
      </c>
      <c r="T64" s="12">
        <f t="shared" si="15"/>
        <v>0</v>
      </c>
      <c r="U64" s="12">
        <f t="shared" si="15"/>
        <v>0</v>
      </c>
      <c r="V64" s="12">
        <f t="shared" si="11"/>
        <v>18000</v>
      </c>
      <c r="W64" s="1"/>
      <c r="X64" s="1"/>
      <c r="Y64" s="1"/>
    </row>
    <row r="65" spans="1:25" x14ac:dyDescent="0.3">
      <c r="A65" s="43">
        <v>1000</v>
      </c>
      <c r="B65" s="12">
        <f>+$A$40*B40</f>
        <v>0</v>
      </c>
      <c r="C65" s="12">
        <f>+$A$40*C40</f>
        <v>0</v>
      </c>
      <c r="D65" s="12">
        <f>+$A$40*D40</f>
        <v>0</v>
      </c>
      <c r="E65" s="12">
        <f t="shared" ref="E65:U65" si="16">+$A$40*E40</f>
        <v>0</v>
      </c>
      <c r="F65" s="12">
        <f t="shared" si="16"/>
        <v>0</v>
      </c>
      <c r="G65" s="12">
        <f t="shared" si="16"/>
        <v>0</v>
      </c>
      <c r="H65" s="12">
        <f>+$A$40*H40</f>
        <v>0</v>
      </c>
      <c r="I65" s="12">
        <f t="shared" si="16"/>
        <v>0</v>
      </c>
      <c r="J65" s="12">
        <f t="shared" si="16"/>
        <v>0</v>
      </c>
      <c r="K65" s="12">
        <f t="shared" si="16"/>
        <v>0</v>
      </c>
      <c r="L65" s="12">
        <f t="shared" si="16"/>
        <v>0</v>
      </c>
      <c r="M65" s="12">
        <f t="shared" si="16"/>
        <v>0</v>
      </c>
      <c r="N65" s="12">
        <f t="shared" si="16"/>
        <v>0</v>
      </c>
      <c r="O65" s="12">
        <f t="shared" si="16"/>
        <v>0</v>
      </c>
      <c r="P65" s="12">
        <f t="shared" si="16"/>
        <v>0</v>
      </c>
      <c r="Q65" s="12">
        <f t="shared" si="16"/>
        <v>0</v>
      </c>
      <c r="R65" s="12">
        <f t="shared" si="16"/>
        <v>0</v>
      </c>
      <c r="S65" s="12">
        <f t="shared" si="16"/>
        <v>0</v>
      </c>
      <c r="T65" s="12">
        <f t="shared" si="16"/>
        <v>0</v>
      </c>
      <c r="U65" s="12">
        <f t="shared" si="16"/>
        <v>0</v>
      </c>
      <c r="V65" s="12">
        <f t="shared" si="11"/>
        <v>0</v>
      </c>
      <c r="W65" s="1"/>
      <c r="X65" s="1"/>
      <c r="Y65" s="1"/>
    </row>
    <row r="66" spans="1:25" x14ac:dyDescent="0.3">
      <c r="A66" s="43">
        <v>1000</v>
      </c>
      <c r="B66" s="12">
        <f>+$A$41*B41</f>
        <v>0</v>
      </c>
      <c r="C66" s="12">
        <f>+$A$41*C41</f>
        <v>0</v>
      </c>
      <c r="D66" s="12">
        <f>+$A$41*D41</f>
        <v>0</v>
      </c>
      <c r="E66" s="12">
        <f t="shared" ref="E66:U66" si="17">+$A$41*E41</f>
        <v>0</v>
      </c>
      <c r="F66" s="12">
        <f t="shared" si="17"/>
        <v>0</v>
      </c>
      <c r="G66" s="12">
        <f t="shared" si="17"/>
        <v>1000</v>
      </c>
      <c r="H66" s="12">
        <f>+$A$41*H41</f>
        <v>0</v>
      </c>
      <c r="I66" s="12">
        <f t="shared" si="17"/>
        <v>0</v>
      </c>
      <c r="J66" s="12">
        <f t="shared" si="17"/>
        <v>0</v>
      </c>
      <c r="K66" s="12">
        <f t="shared" si="17"/>
        <v>0</v>
      </c>
      <c r="L66" s="12">
        <f t="shared" si="17"/>
        <v>0</v>
      </c>
      <c r="M66" s="12">
        <f t="shared" si="17"/>
        <v>0</v>
      </c>
      <c r="N66" s="12">
        <f t="shared" si="17"/>
        <v>0</v>
      </c>
      <c r="O66" s="12">
        <f t="shared" si="17"/>
        <v>0</v>
      </c>
      <c r="P66" s="12">
        <f t="shared" si="17"/>
        <v>0</v>
      </c>
      <c r="Q66" s="12">
        <f t="shared" si="17"/>
        <v>0</v>
      </c>
      <c r="R66" s="12">
        <f t="shared" si="17"/>
        <v>0</v>
      </c>
      <c r="S66" s="12">
        <f t="shared" si="17"/>
        <v>0</v>
      </c>
      <c r="T66" s="12">
        <f t="shared" si="17"/>
        <v>0</v>
      </c>
      <c r="U66" s="12">
        <f t="shared" si="17"/>
        <v>0</v>
      </c>
      <c r="V66" s="12">
        <f t="shared" si="11"/>
        <v>1000</v>
      </c>
      <c r="W66" s="1"/>
      <c r="X66" s="1"/>
      <c r="Y66" s="1"/>
    </row>
    <row r="67" spans="1:25" x14ac:dyDescent="0.3">
      <c r="A67" s="43">
        <v>500</v>
      </c>
      <c r="B67" s="12">
        <f>+$A$42*B42</f>
        <v>0</v>
      </c>
      <c r="C67" s="12">
        <f>+$A$42*C42</f>
        <v>0</v>
      </c>
      <c r="D67" s="12">
        <f>+$A$42*D42</f>
        <v>0</v>
      </c>
      <c r="E67" s="12">
        <f t="shared" ref="E67:U67" si="18">+$A$42*E42</f>
        <v>0</v>
      </c>
      <c r="F67" s="12">
        <f t="shared" si="18"/>
        <v>0</v>
      </c>
      <c r="G67" s="12">
        <f t="shared" si="18"/>
        <v>26000</v>
      </c>
      <c r="H67" s="12">
        <f>+$A$42*H42</f>
        <v>0</v>
      </c>
      <c r="I67" s="12">
        <f t="shared" si="18"/>
        <v>0</v>
      </c>
      <c r="J67" s="12">
        <f t="shared" si="18"/>
        <v>0</v>
      </c>
      <c r="K67" s="12">
        <f t="shared" si="18"/>
        <v>0</v>
      </c>
      <c r="L67" s="12">
        <f t="shared" si="18"/>
        <v>0</v>
      </c>
      <c r="M67" s="12">
        <f t="shared" si="18"/>
        <v>0</v>
      </c>
      <c r="N67" s="12">
        <f t="shared" si="18"/>
        <v>0</v>
      </c>
      <c r="O67" s="12">
        <f t="shared" si="18"/>
        <v>0</v>
      </c>
      <c r="P67" s="12">
        <f t="shared" si="18"/>
        <v>0</v>
      </c>
      <c r="Q67" s="12">
        <f t="shared" si="18"/>
        <v>0</v>
      </c>
      <c r="R67" s="12">
        <f t="shared" si="18"/>
        <v>0</v>
      </c>
      <c r="S67" s="12">
        <f t="shared" si="18"/>
        <v>0</v>
      </c>
      <c r="T67" s="12">
        <f t="shared" si="18"/>
        <v>0</v>
      </c>
      <c r="U67" s="12">
        <f t="shared" si="18"/>
        <v>0</v>
      </c>
      <c r="V67" s="12">
        <f t="shared" si="11"/>
        <v>26000</v>
      </c>
      <c r="W67" s="1"/>
      <c r="X67" s="1"/>
      <c r="Y67" s="1"/>
    </row>
    <row r="68" spans="1:25" x14ac:dyDescent="0.3">
      <c r="A68" s="43">
        <v>200</v>
      </c>
      <c r="B68" s="12">
        <f>+$A$43*B43</f>
        <v>0</v>
      </c>
      <c r="C68" s="12">
        <f>+$A$43*C43</f>
        <v>0</v>
      </c>
      <c r="D68" s="12">
        <f>+$A$43*D43</f>
        <v>0</v>
      </c>
      <c r="E68" s="12">
        <f t="shared" ref="E68:U68" si="19">+$A$43*E43</f>
        <v>0</v>
      </c>
      <c r="F68" s="12">
        <f t="shared" si="19"/>
        <v>0</v>
      </c>
      <c r="G68" s="12">
        <f t="shared" si="19"/>
        <v>6200</v>
      </c>
      <c r="H68" s="12">
        <f>+$A$43*H43</f>
        <v>0</v>
      </c>
      <c r="I68" s="12">
        <f t="shared" si="19"/>
        <v>0</v>
      </c>
      <c r="J68" s="12">
        <f t="shared" si="19"/>
        <v>0</v>
      </c>
      <c r="K68" s="12">
        <f t="shared" si="19"/>
        <v>0</v>
      </c>
      <c r="L68" s="12">
        <f t="shared" si="19"/>
        <v>0</v>
      </c>
      <c r="M68" s="12">
        <f t="shared" si="19"/>
        <v>0</v>
      </c>
      <c r="N68" s="12">
        <f t="shared" si="19"/>
        <v>0</v>
      </c>
      <c r="O68" s="12">
        <f t="shared" si="19"/>
        <v>0</v>
      </c>
      <c r="P68" s="12">
        <f t="shared" si="19"/>
        <v>0</v>
      </c>
      <c r="Q68" s="12">
        <f t="shared" si="19"/>
        <v>0</v>
      </c>
      <c r="R68" s="12">
        <f t="shared" si="19"/>
        <v>0</v>
      </c>
      <c r="S68" s="12">
        <f t="shared" si="19"/>
        <v>0</v>
      </c>
      <c r="T68" s="12">
        <f t="shared" si="19"/>
        <v>0</v>
      </c>
      <c r="U68" s="12">
        <f t="shared" si="19"/>
        <v>0</v>
      </c>
      <c r="V68" s="12">
        <f t="shared" si="11"/>
        <v>6200</v>
      </c>
      <c r="W68" s="1"/>
      <c r="X68" s="1"/>
      <c r="Y68" s="1"/>
    </row>
    <row r="69" spans="1:25" x14ac:dyDescent="0.3">
      <c r="A69" s="43">
        <v>100</v>
      </c>
      <c r="B69" s="12">
        <f>+$A$44*B44</f>
        <v>0</v>
      </c>
      <c r="C69" s="12">
        <f>+$A$44*C44</f>
        <v>0</v>
      </c>
      <c r="D69" s="12">
        <f>+$A$44*D44</f>
        <v>0</v>
      </c>
      <c r="E69" s="12">
        <f t="shared" ref="E69:U69" si="20">+$A$44*E44</f>
        <v>0</v>
      </c>
      <c r="F69" s="12">
        <f t="shared" si="20"/>
        <v>0</v>
      </c>
      <c r="G69" s="12">
        <f t="shared" si="20"/>
        <v>400</v>
      </c>
      <c r="H69" s="12">
        <f>+$A$44*H44</f>
        <v>0</v>
      </c>
      <c r="I69" s="12">
        <f t="shared" si="20"/>
        <v>0</v>
      </c>
      <c r="J69" s="12">
        <f t="shared" si="20"/>
        <v>0</v>
      </c>
      <c r="K69" s="12">
        <f t="shared" si="20"/>
        <v>0</v>
      </c>
      <c r="L69" s="12">
        <f t="shared" si="20"/>
        <v>0</v>
      </c>
      <c r="M69" s="12">
        <f t="shared" si="20"/>
        <v>0</v>
      </c>
      <c r="N69" s="12">
        <f t="shared" si="20"/>
        <v>0</v>
      </c>
      <c r="O69" s="12">
        <f t="shared" si="20"/>
        <v>0</v>
      </c>
      <c r="P69" s="12">
        <f t="shared" si="20"/>
        <v>0</v>
      </c>
      <c r="Q69" s="12">
        <f t="shared" si="20"/>
        <v>0</v>
      </c>
      <c r="R69" s="12">
        <f t="shared" si="20"/>
        <v>0</v>
      </c>
      <c r="S69" s="12">
        <f t="shared" si="20"/>
        <v>0</v>
      </c>
      <c r="T69" s="12">
        <f t="shared" si="20"/>
        <v>0</v>
      </c>
      <c r="U69" s="12">
        <f t="shared" si="20"/>
        <v>0</v>
      </c>
      <c r="V69" s="12">
        <f t="shared" si="11"/>
        <v>400</v>
      </c>
      <c r="W69" s="1"/>
      <c r="X69" s="1"/>
      <c r="Y69" s="1"/>
    </row>
    <row r="70" spans="1:25" x14ac:dyDescent="0.3">
      <c r="A70" s="43">
        <v>50</v>
      </c>
      <c r="B70" s="12">
        <f>+$A$45*B45</f>
        <v>0</v>
      </c>
      <c r="C70" s="12">
        <f>+$A$45*C45</f>
        <v>0</v>
      </c>
      <c r="D70" s="12">
        <f>+$A$45*D45</f>
        <v>0</v>
      </c>
      <c r="E70" s="12">
        <f t="shared" ref="E70:U70" si="21">+$A$45*E45</f>
        <v>0</v>
      </c>
      <c r="F70" s="12">
        <f t="shared" si="21"/>
        <v>0</v>
      </c>
      <c r="G70" s="12">
        <f t="shared" si="21"/>
        <v>0</v>
      </c>
      <c r="H70" s="12">
        <f>+$A$45*H45</f>
        <v>0</v>
      </c>
      <c r="I70" s="12">
        <f t="shared" si="21"/>
        <v>0</v>
      </c>
      <c r="J70" s="12">
        <f t="shared" si="21"/>
        <v>0</v>
      </c>
      <c r="K70" s="12">
        <f t="shared" si="21"/>
        <v>0</v>
      </c>
      <c r="L70" s="12">
        <f t="shared" si="21"/>
        <v>0</v>
      </c>
      <c r="M70" s="12">
        <f t="shared" si="21"/>
        <v>0</v>
      </c>
      <c r="N70" s="12">
        <f t="shared" si="21"/>
        <v>0</v>
      </c>
      <c r="O70" s="12">
        <f t="shared" si="21"/>
        <v>0</v>
      </c>
      <c r="P70" s="12">
        <f t="shared" si="21"/>
        <v>0</v>
      </c>
      <c r="Q70" s="12">
        <f t="shared" si="21"/>
        <v>0</v>
      </c>
      <c r="R70" s="12">
        <f t="shared" si="21"/>
        <v>0</v>
      </c>
      <c r="S70" s="12">
        <f t="shared" si="21"/>
        <v>0</v>
      </c>
      <c r="T70" s="12">
        <f t="shared" si="21"/>
        <v>0</v>
      </c>
      <c r="U70" s="12">
        <f t="shared" si="21"/>
        <v>0</v>
      </c>
      <c r="V70" s="12">
        <f>SUM(B70:U70)</f>
        <v>0</v>
      </c>
      <c r="W70" s="1"/>
      <c r="X70" s="1"/>
      <c r="Y70" s="1"/>
    </row>
    <row r="71" spans="1:25" x14ac:dyDescent="0.3">
      <c r="A71" s="37" t="s">
        <v>37</v>
      </c>
      <c r="B71" s="47">
        <f>SUM(B59:B70)</f>
        <v>86000</v>
      </c>
      <c r="C71" s="47">
        <f t="shared" ref="C71:V71" si="22">SUM(C59:C70)</f>
        <v>0</v>
      </c>
      <c r="D71" s="47">
        <f t="shared" si="22"/>
        <v>0</v>
      </c>
      <c r="E71" s="47">
        <f t="shared" si="22"/>
        <v>0</v>
      </c>
      <c r="F71" s="47">
        <f t="shared" si="22"/>
        <v>0</v>
      </c>
      <c r="G71" s="47">
        <f t="shared" si="22"/>
        <v>323600</v>
      </c>
      <c r="H71" s="47">
        <f>SUM(H59:H70)</f>
        <v>230000</v>
      </c>
      <c r="I71" s="47">
        <f t="shared" si="22"/>
        <v>64000</v>
      </c>
      <c r="J71" s="47">
        <f t="shared" si="22"/>
        <v>304000</v>
      </c>
      <c r="K71" s="47">
        <f t="shared" si="22"/>
        <v>820000</v>
      </c>
      <c r="L71" s="47">
        <f t="shared" si="22"/>
        <v>829000</v>
      </c>
      <c r="M71" s="47">
        <f t="shared" si="22"/>
        <v>0</v>
      </c>
      <c r="N71" s="47">
        <f t="shared" si="22"/>
        <v>600000</v>
      </c>
      <c r="O71" s="47">
        <f t="shared" si="22"/>
        <v>0</v>
      </c>
      <c r="P71" s="47">
        <f t="shared" si="22"/>
        <v>0</v>
      </c>
      <c r="Q71" s="47">
        <f t="shared" si="22"/>
        <v>0</v>
      </c>
      <c r="R71" s="47">
        <f t="shared" si="22"/>
        <v>0</v>
      </c>
      <c r="S71" s="47">
        <f t="shared" si="22"/>
        <v>0</v>
      </c>
      <c r="T71" s="47">
        <f t="shared" si="22"/>
        <v>0</v>
      </c>
      <c r="U71" s="47">
        <f t="shared" si="22"/>
        <v>0</v>
      </c>
      <c r="V71" s="47">
        <f t="shared" si="22"/>
        <v>3256600</v>
      </c>
      <c r="W71" s="1"/>
      <c r="X71" s="1"/>
      <c r="Y71" s="1"/>
    </row>
    <row r="72" spans="1:25" x14ac:dyDescent="0.3">
      <c r="A72" s="43" t="s">
        <v>1</v>
      </c>
      <c r="B72" s="12">
        <f t="shared" ref="B72:U78" si="23">+B46</f>
        <v>1150000</v>
      </c>
      <c r="C72" s="12">
        <f t="shared" si="23"/>
        <v>0</v>
      </c>
      <c r="D72" s="12">
        <f t="shared" si="23"/>
        <v>0</v>
      </c>
      <c r="E72" s="12">
        <f t="shared" si="23"/>
        <v>150000</v>
      </c>
      <c r="F72" s="12">
        <f t="shared" si="23"/>
        <v>0</v>
      </c>
      <c r="G72" s="12">
        <f t="shared" si="23"/>
        <v>0</v>
      </c>
      <c r="H72" s="12">
        <f t="shared" si="23"/>
        <v>0</v>
      </c>
      <c r="I72" s="12">
        <f t="shared" si="23"/>
        <v>0</v>
      </c>
      <c r="J72" s="12">
        <f t="shared" si="23"/>
        <v>0</v>
      </c>
      <c r="K72" s="12">
        <f t="shared" si="23"/>
        <v>0</v>
      </c>
      <c r="L72" s="12">
        <f t="shared" si="23"/>
        <v>0</v>
      </c>
      <c r="M72" s="12">
        <f t="shared" si="23"/>
        <v>0</v>
      </c>
      <c r="N72" s="12">
        <f t="shared" si="23"/>
        <v>0</v>
      </c>
      <c r="O72" s="12">
        <f t="shared" si="23"/>
        <v>0</v>
      </c>
      <c r="P72" s="12">
        <f t="shared" si="23"/>
        <v>0</v>
      </c>
      <c r="Q72" s="12">
        <f t="shared" si="23"/>
        <v>0</v>
      </c>
      <c r="R72" s="12">
        <f t="shared" si="23"/>
        <v>0</v>
      </c>
      <c r="S72" s="12">
        <f t="shared" si="23"/>
        <v>0</v>
      </c>
      <c r="T72" s="12">
        <f t="shared" si="23"/>
        <v>0</v>
      </c>
      <c r="U72" s="12">
        <f t="shared" si="23"/>
        <v>0</v>
      </c>
      <c r="V72" s="12">
        <f>SUM(B72:U72)</f>
        <v>1300000</v>
      </c>
      <c r="W72" s="1"/>
      <c r="X72" s="1"/>
      <c r="Y72" s="1"/>
    </row>
    <row r="73" spans="1:25" x14ac:dyDescent="0.3">
      <c r="A73" s="43" t="s">
        <v>2</v>
      </c>
      <c r="B73" s="12">
        <f t="shared" si="23"/>
        <v>0</v>
      </c>
      <c r="C73" s="12">
        <f t="shared" si="23"/>
        <v>0</v>
      </c>
      <c r="D73" s="12">
        <f t="shared" si="23"/>
        <v>0</v>
      </c>
      <c r="E73" s="12">
        <f t="shared" si="23"/>
        <v>0</v>
      </c>
      <c r="F73" s="12">
        <f t="shared" si="23"/>
        <v>0</v>
      </c>
      <c r="G73" s="12">
        <f t="shared" si="23"/>
        <v>0</v>
      </c>
      <c r="H73" s="12">
        <f t="shared" si="23"/>
        <v>0</v>
      </c>
      <c r="I73" s="12">
        <f t="shared" si="23"/>
        <v>0</v>
      </c>
      <c r="J73" s="12">
        <f t="shared" si="23"/>
        <v>0</v>
      </c>
      <c r="K73" s="12">
        <f t="shared" si="23"/>
        <v>0</v>
      </c>
      <c r="L73" s="12">
        <f t="shared" si="23"/>
        <v>0</v>
      </c>
      <c r="M73" s="12">
        <f t="shared" si="23"/>
        <v>0</v>
      </c>
      <c r="N73" s="12">
        <f t="shared" si="23"/>
        <v>0</v>
      </c>
      <c r="O73" s="12">
        <f t="shared" si="23"/>
        <v>0</v>
      </c>
      <c r="P73" s="12">
        <f t="shared" si="23"/>
        <v>0</v>
      </c>
      <c r="Q73" s="12">
        <f t="shared" si="23"/>
        <v>0</v>
      </c>
      <c r="R73" s="12">
        <f t="shared" si="23"/>
        <v>0</v>
      </c>
      <c r="S73" s="12">
        <f t="shared" si="23"/>
        <v>0</v>
      </c>
      <c r="T73" s="12">
        <f t="shared" si="23"/>
        <v>0</v>
      </c>
      <c r="U73" s="12">
        <f t="shared" si="23"/>
        <v>0</v>
      </c>
      <c r="V73" s="12">
        <f t="shared" ref="V73:V78" si="24">SUM(B73:U73)</f>
        <v>0</v>
      </c>
      <c r="W73" s="1"/>
      <c r="X73" s="1"/>
      <c r="Y73" s="1"/>
    </row>
    <row r="74" spans="1:25" x14ac:dyDescent="0.3">
      <c r="A74" s="43" t="s">
        <v>3</v>
      </c>
      <c r="B74" s="12">
        <f t="shared" si="23"/>
        <v>0</v>
      </c>
      <c r="C74" s="12">
        <f t="shared" si="23"/>
        <v>0</v>
      </c>
      <c r="D74" s="12">
        <f t="shared" si="23"/>
        <v>0</v>
      </c>
      <c r="E74" s="12">
        <f t="shared" si="23"/>
        <v>0</v>
      </c>
      <c r="F74" s="12">
        <f t="shared" si="23"/>
        <v>0</v>
      </c>
      <c r="G74" s="12">
        <f t="shared" si="23"/>
        <v>0</v>
      </c>
      <c r="H74" s="12">
        <f t="shared" si="23"/>
        <v>0</v>
      </c>
      <c r="I74" s="12">
        <f t="shared" si="23"/>
        <v>0</v>
      </c>
      <c r="J74" s="12">
        <f t="shared" si="23"/>
        <v>0</v>
      </c>
      <c r="K74" s="12">
        <f t="shared" si="23"/>
        <v>0</v>
      </c>
      <c r="L74" s="12">
        <f t="shared" si="23"/>
        <v>0</v>
      </c>
      <c r="M74" s="12">
        <f t="shared" si="23"/>
        <v>0</v>
      </c>
      <c r="N74" s="12">
        <f t="shared" si="23"/>
        <v>0</v>
      </c>
      <c r="O74" s="12">
        <f t="shared" si="23"/>
        <v>0</v>
      </c>
      <c r="P74" s="12">
        <f t="shared" si="23"/>
        <v>0</v>
      </c>
      <c r="Q74" s="12">
        <f t="shared" si="23"/>
        <v>0</v>
      </c>
      <c r="R74" s="12">
        <f t="shared" si="23"/>
        <v>0</v>
      </c>
      <c r="S74" s="12">
        <f t="shared" si="23"/>
        <v>0</v>
      </c>
      <c r="T74" s="12">
        <f t="shared" si="23"/>
        <v>0</v>
      </c>
      <c r="U74" s="12">
        <f t="shared" si="23"/>
        <v>0</v>
      </c>
      <c r="V74" s="12">
        <f t="shared" si="24"/>
        <v>0</v>
      </c>
      <c r="W74" s="1"/>
      <c r="X74" s="1"/>
      <c r="Y74" s="1"/>
    </row>
    <row r="75" spans="1:25" x14ac:dyDescent="0.3">
      <c r="A75" s="43" t="s">
        <v>4</v>
      </c>
      <c r="B75" s="12">
        <f t="shared" si="23"/>
        <v>0</v>
      </c>
      <c r="C75" s="12">
        <f t="shared" si="23"/>
        <v>80000</v>
      </c>
      <c r="D75" s="12">
        <f t="shared" si="23"/>
        <v>0</v>
      </c>
      <c r="E75" s="12">
        <f t="shared" si="23"/>
        <v>50000</v>
      </c>
      <c r="F75" s="12">
        <f t="shared" si="23"/>
        <v>0</v>
      </c>
      <c r="G75" s="12">
        <f t="shared" si="23"/>
        <v>315000</v>
      </c>
      <c r="H75" s="12">
        <f t="shared" si="23"/>
        <v>0</v>
      </c>
      <c r="I75" s="12">
        <f t="shared" si="23"/>
        <v>730000</v>
      </c>
      <c r="J75" s="12">
        <f t="shared" si="23"/>
        <v>550000</v>
      </c>
      <c r="K75" s="12">
        <f t="shared" si="23"/>
        <v>0</v>
      </c>
      <c r="L75" s="12">
        <f t="shared" si="23"/>
        <v>342000</v>
      </c>
      <c r="M75" s="12">
        <f t="shared" si="23"/>
        <v>200000</v>
      </c>
      <c r="N75" s="12">
        <f t="shared" si="23"/>
        <v>0</v>
      </c>
      <c r="O75" s="12">
        <f t="shared" si="23"/>
        <v>0</v>
      </c>
      <c r="P75" s="12">
        <f t="shared" si="23"/>
        <v>0</v>
      </c>
      <c r="Q75" s="12">
        <f t="shared" si="23"/>
        <v>0</v>
      </c>
      <c r="R75" s="12">
        <f t="shared" si="23"/>
        <v>0</v>
      </c>
      <c r="S75" s="12">
        <f t="shared" si="23"/>
        <v>0</v>
      </c>
      <c r="T75" s="12">
        <f t="shared" si="23"/>
        <v>0</v>
      </c>
      <c r="U75" s="12">
        <f t="shared" si="23"/>
        <v>0</v>
      </c>
      <c r="V75" s="12">
        <f t="shared" si="24"/>
        <v>2267000</v>
      </c>
      <c r="W75" s="1"/>
      <c r="X75" s="1"/>
      <c r="Y75" s="1"/>
    </row>
    <row r="76" spans="1:25" x14ac:dyDescent="0.3">
      <c r="A76" s="43" t="s">
        <v>31</v>
      </c>
      <c r="B76" s="12">
        <f t="shared" si="23"/>
        <v>0</v>
      </c>
      <c r="C76" s="12">
        <f t="shared" si="23"/>
        <v>0</v>
      </c>
      <c r="D76" s="12">
        <f t="shared" si="23"/>
        <v>490000</v>
      </c>
      <c r="E76" s="12">
        <f t="shared" si="23"/>
        <v>0</v>
      </c>
      <c r="F76" s="12">
        <f t="shared" si="23"/>
        <v>1088000</v>
      </c>
      <c r="G76" s="12">
        <f t="shared" si="23"/>
        <v>0</v>
      </c>
      <c r="H76" s="12">
        <f t="shared" si="23"/>
        <v>0</v>
      </c>
      <c r="I76" s="12">
        <f t="shared" si="23"/>
        <v>0</v>
      </c>
      <c r="J76" s="12">
        <f t="shared" si="23"/>
        <v>0</v>
      </c>
      <c r="K76" s="12">
        <f t="shared" si="23"/>
        <v>0</v>
      </c>
      <c r="L76" s="12">
        <f t="shared" si="23"/>
        <v>560000</v>
      </c>
      <c r="M76" s="12">
        <f t="shared" si="23"/>
        <v>0</v>
      </c>
      <c r="N76" s="12">
        <f t="shared" si="23"/>
        <v>0</v>
      </c>
      <c r="O76" s="12">
        <f t="shared" si="23"/>
        <v>0</v>
      </c>
      <c r="P76" s="12">
        <f t="shared" si="23"/>
        <v>0</v>
      </c>
      <c r="Q76" s="12">
        <f t="shared" si="23"/>
        <v>0</v>
      </c>
      <c r="R76" s="12">
        <f t="shared" si="23"/>
        <v>0</v>
      </c>
      <c r="S76" s="12">
        <f t="shared" si="23"/>
        <v>0</v>
      </c>
      <c r="T76" s="12">
        <f t="shared" si="23"/>
        <v>0</v>
      </c>
      <c r="U76" s="12">
        <f t="shared" si="23"/>
        <v>0</v>
      </c>
      <c r="V76" s="12">
        <f t="shared" si="24"/>
        <v>2138000</v>
      </c>
      <c r="W76" s="1"/>
      <c r="X76" s="1"/>
      <c r="Y76" s="1"/>
    </row>
    <row r="77" spans="1:25" x14ac:dyDescent="0.3">
      <c r="A77" s="43" t="s">
        <v>32</v>
      </c>
      <c r="B77" s="12">
        <f t="shared" si="23"/>
        <v>0</v>
      </c>
      <c r="C77" s="12">
        <f t="shared" si="23"/>
        <v>390000</v>
      </c>
      <c r="D77" s="12">
        <f t="shared" si="23"/>
        <v>0</v>
      </c>
      <c r="E77" s="12">
        <f t="shared" si="23"/>
        <v>0</v>
      </c>
      <c r="F77" s="12">
        <f t="shared" si="23"/>
        <v>0</v>
      </c>
      <c r="G77" s="12">
        <f t="shared" si="23"/>
        <v>0</v>
      </c>
      <c r="H77" s="12">
        <f t="shared" si="23"/>
        <v>0</v>
      </c>
      <c r="I77" s="12">
        <f t="shared" si="23"/>
        <v>0</v>
      </c>
      <c r="J77" s="12">
        <f t="shared" si="23"/>
        <v>0</v>
      </c>
      <c r="K77" s="12">
        <f t="shared" si="23"/>
        <v>0</v>
      </c>
      <c r="L77" s="12">
        <f t="shared" si="23"/>
        <v>0</v>
      </c>
      <c r="M77" s="12">
        <f t="shared" si="23"/>
        <v>0</v>
      </c>
      <c r="N77" s="12">
        <f t="shared" si="23"/>
        <v>0</v>
      </c>
      <c r="O77" s="12">
        <f t="shared" si="23"/>
        <v>0</v>
      </c>
      <c r="P77" s="12">
        <f t="shared" si="23"/>
        <v>0</v>
      </c>
      <c r="Q77" s="12">
        <f t="shared" si="23"/>
        <v>0</v>
      </c>
      <c r="R77" s="12">
        <f t="shared" si="23"/>
        <v>0</v>
      </c>
      <c r="S77" s="12">
        <f t="shared" si="23"/>
        <v>0</v>
      </c>
      <c r="T77" s="12">
        <f t="shared" si="23"/>
        <v>0</v>
      </c>
      <c r="U77" s="12">
        <f t="shared" si="23"/>
        <v>0</v>
      </c>
      <c r="V77" s="12">
        <f t="shared" si="24"/>
        <v>390000</v>
      </c>
      <c r="W77" s="1"/>
      <c r="X77" s="1"/>
      <c r="Y77" s="1"/>
    </row>
    <row r="78" spans="1:25" x14ac:dyDescent="0.3">
      <c r="A78" s="43" t="s">
        <v>33</v>
      </c>
      <c r="B78" s="12">
        <f t="shared" si="23"/>
        <v>4000</v>
      </c>
      <c r="C78" s="12">
        <f t="shared" si="23"/>
        <v>0</v>
      </c>
      <c r="D78" s="12">
        <f t="shared" si="23"/>
        <v>0</v>
      </c>
      <c r="E78" s="12">
        <f t="shared" si="23"/>
        <v>0</v>
      </c>
      <c r="F78" s="12">
        <f t="shared" si="23"/>
        <v>0</v>
      </c>
      <c r="G78" s="12">
        <f t="shared" si="23"/>
        <v>0</v>
      </c>
      <c r="H78" s="12">
        <f t="shared" si="23"/>
        <v>0</v>
      </c>
      <c r="I78" s="12">
        <f t="shared" si="23"/>
        <v>0</v>
      </c>
      <c r="J78" s="12">
        <f t="shared" si="23"/>
        <v>0</v>
      </c>
      <c r="K78" s="12">
        <f t="shared" si="23"/>
        <v>0</v>
      </c>
      <c r="L78" s="12">
        <f t="shared" si="23"/>
        <v>0</v>
      </c>
      <c r="M78" s="12">
        <f t="shared" si="23"/>
        <v>0</v>
      </c>
      <c r="N78" s="12">
        <f t="shared" si="23"/>
        <v>0</v>
      </c>
      <c r="O78" s="12">
        <f t="shared" si="23"/>
        <v>0</v>
      </c>
      <c r="P78" s="12">
        <f t="shared" si="23"/>
        <v>0</v>
      </c>
      <c r="Q78" s="12">
        <f t="shared" si="23"/>
        <v>0</v>
      </c>
      <c r="R78" s="12">
        <f t="shared" si="23"/>
        <v>0</v>
      </c>
      <c r="S78" s="12">
        <f t="shared" si="23"/>
        <v>0</v>
      </c>
      <c r="T78" s="12">
        <f t="shared" si="23"/>
        <v>0</v>
      </c>
      <c r="U78" s="12">
        <f t="shared" si="23"/>
        <v>0</v>
      </c>
      <c r="V78" s="12">
        <f t="shared" si="24"/>
        <v>4000</v>
      </c>
      <c r="W78" s="1"/>
      <c r="X78" s="1"/>
      <c r="Y78" s="1"/>
    </row>
    <row r="79" spans="1:25" x14ac:dyDescent="0.3">
      <c r="A79" s="37" t="s">
        <v>37</v>
      </c>
      <c r="B79" s="47">
        <f>+B71+B72+B73+B74+B75+B76+B77+B78</f>
        <v>1240000</v>
      </c>
      <c r="C79" s="47">
        <f t="shared" ref="C79:U79" si="25">+C71+C72+C73+C74+C75+C76+C77+C78</f>
        <v>470000</v>
      </c>
      <c r="D79" s="47">
        <f t="shared" si="25"/>
        <v>490000</v>
      </c>
      <c r="E79" s="47">
        <f t="shared" si="25"/>
        <v>200000</v>
      </c>
      <c r="F79" s="47">
        <f t="shared" si="25"/>
        <v>1088000</v>
      </c>
      <c r="G79" s="47">
        <f t="shared" si="25"/>
        <v>638600</v>
      </c>
      <c r="H79" s="47">
        <f>+H71+H72+H73+H74+H75+H76+H77+H78</f>
        <v>230000</v>
      </c>
      <c r="I79" s="47">
        <f t="shared" si="25"/>
        <v>794000</v>
      </c>
      <c r="J79" s="47">
        <f t="shared" si="25"/>
        <v>854000</v>
      </c>
      <c r="K79" s="47">
        <f>+K71+K72+K73+K74+K75+K76+K77+K78</f>
        <v>820000</v>
      </c>
      <c r="L79" s="47">
        <f t="shared" si="25"/>
        <v>1731000</v>
      </c>
      <c r="M79" s="47">
        <f t="shared" si="25"/>
        <v>200000</v>
      </c>
      <c r="N79" s="47">
        <f t="shared" si="25"/>
        <v>600000</v>
      </c>
      <c r="O79" s="47">
        <f t="shared" si="25"/>
        <v>0</v>
      </c>
      <c r="P79" s="47">
        <f t="shared" si="25"/>
        <v>0</v>
      </c>
      <c r="Q79" s="47">
        <f t="shared" si="25"/>
        <v>0</v>
      </c>
      <c r="R79" s="47">
        <f t="shared" si="25"/>
        <v>0</v>
      </c>
      <c r="S79" s="47">
        <f t="shared" si="25"/>
        <v>0</v>
      </c>
      <c r="T79" s="47">
        <f t="shared" si="25"/>
        <v>0</v>
      </c>
      <c r="U79" s="47">
        <f t="shared" si="25"/>
        <v>0</v>
      </c>
      <c r="V79" s="47">
        <f>+V71+V72+V73+V74+V75+V76+V77+V78</f>
        <v>9355600</v>
      </c>
      <c r="W79" s="1"/>
      <c r="X79" s="1"/>
      <c r="Y79" s="1"/>
    </row>
    <row r="80" spans="1:25" x14ac:dyDescent="0.3">
      <c r="A80" s="43" t="s">
        <v>34</v>
      </c>
      <c r="B80" s="12">
        <f>+B53</f>
        <v>0</v>
      </c>
      <c r="C80" s="12">
        <f t="shared" ref="C80:U83" si="26">+C53</f>
        <v>0</v>
      </c>
      <c r="D80" s="12">
        <f t="shared" si="26"/>
        <v>0</v>
      </c>
      <c r="E80" s="12">
        <f t="shared" si="26"/>
        <v>0</v>
      </c>
      <c r="F80" s="12">
        <f t="shared" si="26"/>
        <v>0</v>
      </c>
      <c r="G80" s="12">
        <f t="shared" si="26"/>
        <v>0</v>
      </c>
      <c r="H80" s="12">
        <f>+H53</f>
        <v>0</v>
      </c>
      <c r="I80" s="12">
        <f t="shared" si="26"/>
        <v>0</v>
      </c>
      <c r="J80" s="12">
        <f t="shared" si="26"/>
        <v>0</v>
      </c>
      <c r="K80" s="12">
        <f t="shared" si="26"/>
        <v>0</v>
      </c>
      <c r="L80" s="12">
        <f t="shared" si="26"/>
        <v>0</v>
      </c>
      <c r="M80" s="12">
        <f t="shared" si="26"/>
        <v>0</v>
      </c>
      <c r="N80" s="12">
        <f t="shared" si="26"/>
        <v>0</v>
      </c>
      <c r="O80" s="12">
        <f t="shared" si="26"/>
        <v>0</v>
      </c>
      <c r="P80" s="12">
        <f t="shared" si="26"/>
        <v>0</v>
      </c>
      <c r="Q80" s="12">
        <f t="shared" si="26"/>
        <v>0</v>
      </c>
      <c r="R80" s="12">
        <f t="shared" si="26"/>
        <v>0</v>
      </c>
      <c r="S80" s="12">
        <f t="shared" si="26"/>
        <v>0</v>
      </c>
      <c r="T80" s="12">
        <f t="shared" si="26"/>
        <v>0</v>
      </c>
      <c r="U80" s="12">
        <f t="shared" si="26"/>
        <v>0</v>
      </c>
      <c r="V80" s="12">
        <f>SUM(B80:U80)</f>
        <v>0</v>
      </c>
      <c r="W80" s="1"/>
      <c r="X80" s="1"/>
      <c r="Y80" s="1"/>
    </row>
    <row r="81" spans="1:25" x14ac:dyDescent="0.3">
      <c r="A81" s="43" t="s">
        <v>35</v>
      </c>
      <c r="B81" s="12">
        <f>+B54</f>
        <v>0</v>
      </c>
      <c r="C81" s="12">
        <f t="shared" si="26"/>
        <v>0</v>
      </c>
      <c r="D81" s="12">
        <f t="shared" si="26"/>
        <v>0</v>
      </c>
      <c r="E81" s="12">
        <f t="shared" si="26"/>
        <v>0</v>
      </c>
      <c r="F81" s="12">
        <f t="shared" si="26"/>
        <v>0</v>
      </c>
      <c r="G81" s="12">
        <f t="shared" si="26"/>
        <v>0</v>
      </c>
      <c r="H81" s="12">
        <f>+H54</f>
        <v>0</v>
      </c>
      <c r="I81" s="12">
        <f t="shared" si="26"/>
        <v>0</v>
      </c>
      <c r="J81" s="12">
        <f t="shared" si="26"/>
        <v>0</v>
      </c>
      <c r="K81" s="12">
        <f t="shared" si="26"/>
        <v>0</v>
      </c>
      <c r="L81" s="12">
        <f t="shared" si="26"/>
        <v>0</v>
      </c>
      <c r="M81" s="12">
        <f t="shared" si="26"/>
        <v>0</v>
      </c>
      <c r="N81" s="12">
        <f t="shared" si="26"/>
        <v>0</v>
      </c>
      <c r="O81" s="12">
        <f t="shared" si="26"/>
        <v>0</v>
      </c>
      <c r="P81" s="12">
        <f t="shared" si="26"/>
        <v>0</v>
      </c>
      <c r="Q81" s="12">
        <f t="shared" si="26"/>
        <v>0</v>
      </c>
      <c r="R81" s="12">
        <f t="shared" si="26"/>
        <v>0</v>
      </c>
      <c r="S81" s="12">
        <f t="shared" si="26"/>
        <v>0</v>
      </c>
      <c r="T81" s="12">
        <f t="shared" si="26"/>
        <v>0</v>
      </c>
      <c r="U81" s="12">
        <f t="shared" si="26"/>
        <v>0</v>
      </c>
      <c r="V81" s="12">
        <f>SUM(B81:U81)</f>
        <v>0</v>
      </c>
      <c r="W81" s="1"/>
      <c r="X81" s="1"/>
      <c r="Y81" s="1"/>
    </row>
    <row r="82" spans="1:25" x14ac:dyDescent="0.3">
      <c r="A82" s="43" t="s">
        <v>36</v>
      </c>
      <c r="B82" s="12">
        <f t="shared" ref="B82:Q83" si="27">+B55</f>
        <v>0</v>
      </c>
      <c r="C82" s="12">
        <f t="shared" si="27"/>
        <v>0</v>
      </c>
      <c r="D82" s="12">
        <f t="shared" si="27"/>
        <v>0</v>
      </c>
      <c r="E82" s="12">
        <f t="shared" si="27"/>
        <v>0</v>
      </c>
      <c r="F82" s="12">
        <f t="shared" si="27"/>
        <v>0</v>
      </c>
      <c r="G82" s="12">
        <f t="shared" si="27"/>
        <v>0</v>
      </c>
      <c r="H82" s="12">
        <f>+H55</f>
        <v>0</v>
      </c>
      <c r="I82" s="12">
        <f t="shared" si="27"/>
        <v>0</v>
      </c>
      <c r="J82" s="12">
        <f t="shared" si="27"/>
        <v>0</v>
      </c>
      <c r="K82" s="12">
        <f t="shared" si="27"/>
        <v>0</v>
      </c>
      <c r="L82" s="12">
        <f t="shared" si="27"/>
        <v>0</v>
      </c>
      <c r="M82" s="12">
        <f t="shared" si="27"/>
        <v>0</v>
      </c>
      <c r="N82" s="12">
        <f t="shared" si="27"/>
        <v>0</v>
      </c>
      <c r="O82" s="12">
        <f t="shared" si="27"/>
        <v>0</v>
      </c>
      <c r="P82" s="12">
        <f t="shared" si="27"/>
        <v>0</v>
      </c>
      <c r="Q82" s="12">
        <f t="shared" si="27"/>
        <v>0</v>
      </c>
      <c r="R82" s="12">
        <f t="shared" si="26"/>
        <v>0</v>
      </c>
      <c r="S82" s="12">
        <f t="shared" si="26"/>
        <v>0</v>
      </c>
      <c r="T82" s="12">
        <f t="shared" si="26"/>
        <v>0</v>
      </c>
      <c r="U82" s="12">
        <f t="shared" si="26"/>
        <v>0</v>
      </c>
      <c r="V82" s="12">
        <f>SUM(B82:U82)</f>
        <v>0</v>
      </c>
      <c r="W82" s="1"/>
      <c r="X82" s="1"/>
      <c r="Y82" s="1"/>
    </row>
    <row r="83" spans="1:25" x14ac:dyDescent="0.3">
      <c r="A83" s="43" t="s">
        <v>9</v>
      </c>
      <c r="B83" s="12">
        <f t="shared" si="27"/>
        <v>0</v>
      </c>
      <c r="C83" s="12">
        <f t="shared" si="26"/>
        <v>0</v>
      </c>
      <c r="D83" s="12">
        <f t="shared" si="26"/>
        <v>0</v>
      </c>
      <c r="E83" s="12">
        <f t="shared" si="26"/>
        <v>0</v>
      </c>
      <c r="F83" s="12">
        <f t="shared" si="26"/>
        <v>0</v>
      </c>
      <c r="G83" s="12">
        <f t="shared" si="26"/>
        <v>0</v>
      </c>
      <c r="H83" s="12">
        <f>+H56</f>
        <v>0</v>
      </c>
      <c r="I83" s="12">
        <f t="shared" si="26"/>
        <v>0</v>
      </c>
      <c r="J83" s="12">
        <f t="shared" si="26"/>
        <v>0</v>
      </c>
      <c r="K83" s="12">
        <f t="shared" si="26"/>
        <v>0</v>
      </c>
      <c r="L83" s="12">
        <f t="shared" si="26"/>
        <v>0</v>
      </c>
      <c r="M83" s="12">
        <f t="shared" si="26"/>
        <v>0</v>
      </c>
      <c r="N83" s="12">
        <f t="shared" si="26"/>
        <v>0</v>
      </c>
      <c r="O83" s="12">
        <f t="shared" si="26"/>
        <v>0</v>
      </c>
      <c r="P83" s="12">
        <f t="shared" si="26"/>
        <v>0</v>
      </c>
      <c r="Q83" s="12">
        <f t="shared" si="26"/>
        <v>0</v>
      </c>
      <c r="R83" s="12">
        <f t="shared" si="26"/>
        <v>0</v>
      </c>
      <c r="S83" s="12">
        <f t="shared" si="26"/>
        <v>0</v>
      </c>
      <c r="T83" s="12">
        <f t="shared" si="26"/>
        <v>0</v>
      </c>
      <c r="U83" s="12">
        <f t="shared" si="26"/>
        <v>0</v>
      </c>
      <c r="V83" s="12">
        <f>SUM(B83:U83)</f>
        <v>0</v>
      </c>
      <c r="W83" s="1"/>
      <c r="X83" s="1"/>
      <c r="Y83" s="1"/>
    </row>
  </sheetData>
  <mergeCells count="1">
    <mergeCell ref="V32:V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7" sqref="L17"/>
    </sheetView>
  </sheetViews>
  <sheetFormatPr baseColWidth="10" defaultRowHeight="1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10" sqref="B10:B14"/>
    </sheetView>
  </sheetViews>
  <sheetFormatPr baseColWidth="10" defaultColWidth="14.3984375" defaultRowHeight="15.05" customHeight="1" x14ac:dyDescent="0.3"/>
  <cols>
    <col min="1" max="1" width="12.09765625" style="54" customWidth="1"/>
    <col min="2" max="2" width="26.59765625" style="54" customWidth="1"/>
    <col min="3" max="6" width="10.69921875" style="54" customWidth="1"/>
    <col min="7" max="7" width="16.3984375" style="54" customWidth="1"/>
    <col min="8" max="8" width="6.3984375" style="54" customWidth="1"/>
    <col min="9" max="9" width="20.296875" style="54" customWidth="1"/>
    <col min="10" max="10" width="2.3984375" style="54" customWidth="1"/>
    <col min="11" max="11" width="14.59765625" style="54" customWidth="1"/>
    <col min="12" max="12" width="0.3984375" style="54" customWidth="1"/>
    <col min="13" max="16" width="10.69921875" style="54" customWidth="1"/>
    <col min="17" max="16384" width="14.3984375" style="54"/>
  </cols>
  <sheetData>
    <row r="1" spans="1:26" ht="15.6" x14ac:dyDescent="0.3">
      <c r="A1" s="51" t="s">
        <v>58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</row>
    <row r="2" spans="1:26" ht="17.2" customHeight="1" x14ac:dyDescent="0.3">
      <c r="A2" s="55" t="s">
        <v>59</v>
      </c>
      <c r="B2" s="56">
        <v>46054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26" ht="12.8" customHeight="1" x14ac:dyDescent="0.3">
      <c r="A3" s="57" t="s">
        <v>60</v>
      </c>
      <c r="B3" s="58" t="s">
        <v>61</v>
      </c>
      <c r="C3" s="58" t="s">
        <v>62</v>
      </c>
      <c r="D3" s="58" t="s">
        <v>63</v>
      </c>
      <c r="E3" s="58" t="s">
        <v>64</v>
      </c>
      <c r="F3" s="58" t="s">
        <v>10</v>
      </c>
      <c r="G3" s="59" t="s">
        <v>65</v>
      </c>
      <c r="H3" s="60" t="s">
        <v>66</v>
      </c>
      <c r="I3" s="52"/>
      <c r="J3" s="52"/>
      <c r="K3" s="52"/>
      <c r="L3" s="53"/>
    </row>
    <row r="4" spans="1:26" ht="15.05" customHeight="1" x14ac:dyDescent="0.3">
      <c r="A4" s="61"/>
      <c r="B4" s="62" t="s">
        <v>67</v>
      </c>
      <c r="C4" s="63"/>
      <c r="D4" s="63"/>
      <c r="E4" s="63"/>
      <c r="F4" s="63">
        <f t="shared" ref="F4:F19" si="0">SUM(C4:E4)</f>
        <v>0</v>
      </c>
      <c r="G4" s="64">
        <v>0</v>
      </c>
      <c r="H4" s="65"/>
      <c r="I4" s="66"/>
      <c r="J4" s="66"/>
      <c r="K4" s="66"/>
      <c r="L4" s="67"/>
    </row>
    <row r="5" spans="1:26" ht="13.6" customHeight="1" x14ac:dyDescent="0.3">
      <c r="A5" s="61"/>
      <c r="B5" s="62" t="s">
        <v>68</v>
      </c>
      <c r="C5" s="63"/>
      <c r="D5" s="63"/>
      <c r="E5" s="63"/>
      <c r="F5" s="63">
        <f t="shared" si="0"/>
        <v>0</v>
      </c>
      <c r="G5" s="64">
        <v>0</v>
      </c>
      <c r="H5" s="68"/>
      <c r="I5" s="69"/>
      <c r="J5" s="69"/>
      <c r="K5" s="69"/>
      <c r="L5" s="70"/>
    </row>
    <row r="6" spans="1:26" ht="15.75" customHeight="1" x14ac:dyDescent="0.3">
      <c r="A6" s="61"/>
      <c r="B6" s="62" t="s">
        <v>69</v>
      </c>
      <c r="C6" s="63"/>
      <c r="D6" s="63"/>
      <c r="E6" s="63"/>
      <c r="F6" s="63">
        <f t="shared" si="0"/>
        <v>0</v>
      </c>
      <c r="G6" s="64">
        <v>0</v>
      </c>
      <c r="H6" s="68"/>
      <c r="I6" s="69"/>
      <c r="J6" s="69"/>
      <c r="K6" s="69"/>
      <c r="L6" s="70"/>
    </row>
    <row r="7" spans="1:26" ht="15.05" customHeight="1" x14ac:dyDescent="0.3">
      <c r="A7" s="61"/>
      <c r="B7" s="62" t="s">
        <v>70</v>
      </c>
      <c r="C7" s="63"/>
      <c r="D7" s="63"/>
      <c r="E7" s="63"/>
      <c r="F7" s="63">
        <f t="shared" si="0"/>
        <v>0</v>
      </c>
      <c r="G7" s="64">
        <v>0</v>
      </c>
      <c r="H7" s="68"/>
      <c r="I7" s="69"/>
      <c r="J7" s="69"/>
      <c r="K7" s="69"/>
      <c r="L7" s="70"/>
    </row>
    <row r="8" spans="1:26" ht="19.350000000000001" customHeight="1" x14ac:dyDescent="0.3">
      <c r="A8" s="61"/>
      <c r="B8" s="62" t="s">
        <v>71</v>
      </c>
      <c r="C8" s="63"/>
      <c r="D8" s="63"/>
      <c r="E8" s="63"/>
      <c r="F8" s="63">
        <f t="shared" si="0"/>
        <v>0</v>
      </c>
      <c r="G8" s="64">
        <v>0</v>
      </c>
      <c r="H8" s="68"/>
      <c r="I8" s="69"/>
      <c r="J8" s="69"/>
      <c r="K8" s="69"/>
      <c r="L8" s="70"/>
    </row>
    <row r="9" spans="1:26" ht="15.75" customHeight="1" x14ac:dyDescent="0.3">
      <c r="A9" s="61"/>
      <c r="B9" s="62" t="s">
        <v>72</v>
      </c>
      <c r="C9" s="63"/>
      <c r="D9" s="63"/>
      <c r="E9" s="63"/>
      <c r="F9" s="63">
        <f t="shared" si="0"/>
        <v>0</v>
      </c>
      <c r="G9" s="64">
        <v>0</v>
      </c>
      <c r="H9" s="68"/>
      <c r="I9" s="69"/>
      <c r="J9" s="69"/>
      <c r="K9" s="69"/>
      <c r="L9" s="70"/>
    </row>
    <row r="10" spans="1:26" ht="15.05" customHeight="1" x14ac:dyDescent="0.3">
      <c r="A10" s="61"/>
      <c r="B10" s="62" t="s">
        <v>73</v>
      </c>
      <c r="C10" s="63"/>
      <c r="D10" s="63"/>
      <c r="E10" s="63"/>
      <c r="F10" s="63">
        <f t="shared" si="0"/>
        <v>0</v>
      </c>
      <c r="G10" s="64">
        <v>0</v>
      </c>
      <c r="H10" s="68"/>
      <c r="I10" s="69"/>
      <c r="J10" s="69"/>
      <c r="K10" s="69"/>
      <c r="L10" s="70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4" x14ac:dyDescent="0.3">
      <c r="A11" s="61"/>
      <c r="B11" s="62" t="s">
        <v>74</v>
      </c>
      <c r="C11" s="63"/>
      <c r="D11" s="63"/>
      <c r="E11" s="63"/>
      <c r="F11" s="63">
        <f t="shared" si="0"/>
        <v>0</v>
      </c>
      <c r="G11" s="64">
        <v>0</v>
      </c>
      <c r="H11" s="68"/>
      <c r="I11" s="69"/>
      <c r="J11" s="69"/>
      <c r="K11" s="69"/>
      <c r="L11" s="70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6.55" customHeight="1" x14ac:dyDescent="0.3">
      <c r="A12" s="61"/>
      <c r="B12" s="62" t="s">
        <v>75</v>
      </c>
      <c r="C12" s="63"/>
      <c r="D12" s="63"/>
      <c r="E12" s="63"/>
      <c r="F12" s="63">
        <f t="shared" si="0"/>
        <v>0</v>
      </c>
      <c r="G12" s="64">
        <v>0</v>
      </c>
      <c r="H12" s="68"/>
      <c r="I12" s="69"/>
      <c r="J12" s="69"/>
      <c r="K12" s="69"/>
      <c r="L12" s="70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4.25" customHeight="1" x14ac:dyDescent="0.3">
      <c r="A13" s="61"/>
      <c r="B13" s="62" t="s">
        <v>76</v>
      </c>
      <c r="C13" s="63"/>
      <c r="D13" s="63"/>
      <c r="E13" s="63"/>
      <c r="F13" s="63">
        <f t="shared" si="0"/>
        <v>0</v>
      </c>
      <c r="G13" s="64">
        <v>0</v>
      </c>
      <c r="H13" s="68"/>
      <c r="I13" s="69"/>
      <c r="J13" s="69"/>
      <c r="K13" s="69"/>
      <c r="L13" s="70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5.05" customHeight="1" x14ac:dyDescent="0.3">
      <c r="A14" s="61"/>
      <c r="B14" s="62" t="s">
        <v>77</v>
      </c>
      <c r="C14" s="63"/>
      <c r="D14" s="63"/>
      <c r="E14" s="63"/>
      <c r="F14" s="63">
        <f t="shared" si="0"/>
        <v>0</v>
      </c>
      <c r="G14" s="64">
        <v>0</v>
      </c>
      <c r="H14" s="68"/>
      <c r="I14" s="69"/>
      <c r="J14" s="69"/>
      <c r="K14" s="69"/>
      <c r="L14" s="70"/>
    </row>
    <row r="15" spans="1:26" ht="14.25" customHeight="1" x14ac:dyDescent="0.3">
      <c r="A15" s="61"/>
      <c r="B15" s="62" t="s">
        <v>78</v>
      </c>
      <c r="C15" s="63"/>
      <c r="D15" s="63"/>
      <c r="E15" s="63"/>
      <c r="F15" s="63">
        <f t="shared" si="0"/>
        <v>0</v>
      </c>
      <c r="G15" s="72"/>
      <c r="H15" s="68"/>
      <c r="I15" s="69"/>
      <c r="J15" s="69"/>
      <c r="K15" s="69"/>
      <c r="L15" s="70"/>
    </row>
    <row r="16" spans="1:26" ht="17.2" customHeight="1" x14ac:dyDescent="0.3">
      <c r="A16" s="61"/>
      <c r="B16" s="62" t="s">
        <v>79</v>
      </c>
      <c r="C16" s="63"/>
      <c r="D16" s="63"/>
      <c r="E16" s="63"/>
      <c r="F16" s="63">
        <f t="shared" si="0"/>
        <v>0</v>
      </c>
      <c r="G16" s="72">
        <v>0</v>
      </c>
      <c r="H16" s="68"/>
      <c r="I16" s="69"/>
      <c r="J16" s="69"/>
      <c r="K16" s="69"/>
      <c r="L16" s="70"/>
    </row>
    <row r="17" spans="1:26" ht="16.55" customHeight="1" x14ac:dyDescent="0.3">
      <c r="A17" s="61"/>
      <c r="B17" s="62" t="s">
        <v>80</v>
      </c>
      <c r="C17" s="63"/>
      <c r="D17" s="63"/>
      <c r="E17" s="63"/>
      <c r="F17" s="63">
        <f t="shared" si="0"/>
        <v>0</v>
      </c>
      <c r="G17" s="72"/>
      <c r="H17" s="68"/>
      <c r="I17" s="69"/>
      <c r="J17" s="69"/>
      <c r="K17" s="69"/>
      <c r="L17" s="70"/>
    </row>
    <row r="18" spans="1:26" ht="15.75" customHeight="1" x14ac:dyDescent="0.3">
      <c r="A18" s="61"/>
      <c r="B18" s="62" t="s">
        <v>81</v>
      </c>
      <c r="C18" s="63"/>
      <c r="D18" s="63"/>
      <c r="E18" s="63"/>
      <c r="F18" s="63">
        <f t="shared" si="0"/>
        <v>0</v>
      </c>
      <c r="G18" s="72"/>
      <c r="H18" s="68"/>
      <c r="I18" s="69"/>
      <c r="J18" s="69"/>
      <c r="K18" s="69"/>
      <c r="L18" s="70"/>
    </row>
    <row r="19" spans="1:26" ht="15.75" customHeight="1" x14ac:dyDescent="0.3">
      <c r="A19" s="73"/>
      <c r="B19" s="62" t="s">
        <v>82</v>
      </c>
      <c r="C19" s="63"/>
      <c r="D19" s="63"/>
      <c r="E19" s="63"/>
      <c r="F19" s="63">
        <f t="shared" si="0"/>
        <v>0</v>
      </c>
      <c r="G19" s="72">
        <v>0</v>
      </c>
      <c r="H19" s="68"/>
      <c r="I19" s="69"/>
      <c r="J19" s="69"/>
      <c r="K19" s="69"/>
      <c r="L19" s="70"/>
      <c r="P19" s="74"/>
    </row>
    <row r="20" spans="1:26" ht="14.25" customHeight="1" x14ac:dyDescent="0.3">
      <c r="A20" s="75" t="s">
        <v>83</v>
      </c>
      <c r="B20" s="53"/>
      <c r="C20" s="76"/>
      <c r="D20" s="76"/>
      <c r="E20" s="76"/>
      <c r="F20" s="76"/>
      <c r="G20" s="77">
        <f>SUM(G14:G19)</f>
        <v>0</v>
      </c>
      <c r="H20" s="78"/>
      <c r="I20" s="79"/>
      <c r="J20" s="79"/>
      <c r="K20" s="79"/>
      <c r="L20" s="80"/>
      <c r="P20" s="74"/>
    </row>
    <row r="21" spans="1:26" ht="14.25" hidden="1" customHeight="1" x14ac:dyDescent="0.3">
      <c r="A21" s="57"/>
      <c r="B21" s="58" t="s">
        <v>61</v>
      </c>
      <c r="C21" s="58" t="s">
        <v>62</v>
      </c>
      <c r="D21" s="58" t="s">
        <v>63</v>
      </c>
      <c r="E21" s="58" t="s">
        <v>64</v>
      </c>
      <c r="F21" s="58" t="s">
        <v>10</v>
      </c>
      <c r="G21" s="59" t="s">
        <v>65</v>
      </c>
      <c r="H21" s="81"/>
      <c r="I21" s="66"/>
      <c r="J21" s="66"/>
      <c r="K21" s="66"/>
      <c r="L21" s="67"/>
      <c r="P21" s="74"/>
    </row>
    <row r="22" spans="1:26" ht="14.25" hidden="1" customHeight="1" x14ac:dyDescent="0.3">
      <c r="A22" s="61"/>
      <c r="B22" s="82" t="s">
        <v>67</v>
      </c>
      <c r="C22" s="63"/>
      <c r="D22" s="63"/>
      <c r="E22" s="63"/>
      <c r="F22" s="63">
        <f t="shared" ref="F22:F37" si="1">SUM(C22:E22)</f>
        <v>0</v>
      </c>
      <c r="G22" s="64">
        <v>0</v>
      </c>
      <c r="H22" s="68"/>
      <c r="I22" s="69"/>
      <c r="J22" s="69"/>
      <c r="K22" s="69"/>
      <c r="L22" s="70"/>
    </row>
    <row r="23" spans="1:26" ht="14.25" hidden="1" customHeight="1" x14ac:dyDescent="0.3">
      <c r="A23" s="61"/>
      <c r="B23" s="82" t="s">
        <v>68</v>
      </c>
      <c r="C23" s="63"/>
      <c r="D23" s="63"/>
      <c r="E23" s="63"/>
      <c r="F23" s="63">
        <f t="shared" si="1"/>
        <v>0</v>
      </c>
      <c r="G23" s="64">
        <v>0</v>
      </c>
      <c r="H23" s="68"/>
      <c r="I23" s="69"/>
      <c r="J23" s="69"/>
      <c r="K23" s="69"/>
      <c r="L23" s="70"/>
    </row>
    <row r="24" spans="1:26" ht="14.25" hidden="1" customHeight="1" x14ac:dyDescent="0.3">
      <c r="A24" s="61"/>
      <c r="B24" s="82" t="s">
        <v>69</v>
      </c>
      <c r="C24" s="63"/>
      <c r="D24" s="63"/>
      <c r="E24" s="63"/>
      <c r="F24" s="63">
        <f t="shared" si="1"/>
        <v>0</v>
      </c>
      <c r="G24" s="64">
        <v>0</v>
      </c>
      <c r="H24" s="68"/>
      <c r="I24" s="69"/>
      <c r="J24" s="69"/>
      <c r="K24" s="69"/>
      <c r="L24" s="70"/>
    </row>
    <row r="25" spans="1:26" ht="14.25" hidden="1" customHeight="1" x14ac:dyDescent="0.3">
      <c r="A25" s="61"/>
      <c r="B25" s="82" t="s">
        <v>70</v>
      </c>
      <c r="C25" s="63"/>
      <c r="D25" s="63"/>
      <c r="E25" s="63"/>
      <c r="F25" s="63">
        <f t="shared" si="1"/>
        <v>0</v>
      </c>
      <c r="G25" s="64">
        <v>0</v>
      </c>
      <c r="H25" s="68"/>
      <c r="I25" s="69"/>
      <c r="J25" s="69"/>
      <c r="K25" s="69"/>
      <c r="L25" s="70"/>
    </row>
    <row r="26" spans="1:26" ht="14.25" hidden="1" customHeight="1" x14ac:dyDescent="0.3">
      <c r="A26" s="61"/>
      <c r="B26" s="82" t="s">
        <v>71</v>
      </c>
      <c r="C26" s="63"/>
      <c r="D26" s="63"/>
      <c r="E26" s="63"/>
      <c r="F26" s="63">
        <f t="shared" si="1"/>
        <v>0</v>
      </c>
      <c r="G26" s="64">
        <v>0</v>
      </c>
      <c r="H26" s="68"/>
      <c r="I26" s="69"/>
      <c r="J26" s="69"/>
      <c r="K26" s="69"/>
      <c r="L26" s="70"/>
    </row>
    <row r="27" spans="1:26" ht="14.25" hidden="1" customHeight="1" x14ac:dyDescent="0.3">
      <c r="A27" s="61"/>
      <c r="B27" s="82" t="s">
        <v>72</v>
      </c>
      <c r="C27" s="63"/>
      <c r="D27" s="63"/>
      <c r="E27" s="63"/>
      <c r="F27" s="63">
        <f t="shared" si="1"/>
        <v>0</v>
      </c>
      <c r="G27" s="64">
        <v>0</v>
      </c>
      <c r="H27" s="68"/>
      <c r="I27" s="69"/>
      <c r="J27" s="69"/>
      <c r="K27" s="69"/>
      <c r="L27" s="70"/>
    </row>
    <row r="28" spans="1:26" ht="14.25" hidden="1" customHeight="1" x14ac:dyDescent="0.3">
      <c r="A28" s="61"/>
      <c r="B28" s="82" t="s">
        <v>73</v>
      </c>
      <c r="C28" s="63"/>
      <c r="D28" s="63"/>
      <c r="E28" s="63"/>
      <c r="F28" s="63">
        <f t="shared" si="1"/>
        <v>0</v>
      </c>
      <c r="G28" s="64">
        <v>0</v>
      </c>
      <c r="H28" s="68"/>
      <c r="I28" s="69"/>
      <c r="J28" s="69"/>
      <c r="K28" s="69"/>
      <c r="L28" s="70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4.25" hidden="1" customHeight="1" x14ac:dyDescent="0.3">
      <c r="A29" s="61"/>
      <c r="B29" s="82" t="s">
        <v>74</v>
      </c>
      <c r="C29" s="63"/>
      <c r="D29" s="63"/>
      <c r="E29" s="63"/>
      <c r="F29" s="63">
        <f t="shared" si="1"/>
        <v>0</v>
      </c>
      <c r="G29" s="64">
        <v>0</v>
      </c>
      <c r="H29" s="68"/>
      <c r="I29" s="69"/>
      <c r="J29" s="69"/>
      <c r="K29" s="69"/>
      <c r="L29" s="70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4.25" hidden="1" customHeight="1" x14ac:dyDescent="0.3">
      <c r="A30" s="61"/>
      <c r="B30" s="82" t="s">
        <v>75</v>
      </c>
      <c r="C30" s="63"/>
      <c r="D30" s="63"/>
      <c r="E30" s="63"/>
      <c r="F30" s="63">
        <f t="shared" si="1"/>
        <v>0</v>
      </c>
      <c r="G30" s="64">
        <v>0</v>
      </c>
      <c r="H30" s="68"/>
      <c r="I30" s="69"/>
      <c r="J30" s="69"/>
      <c r="K30" s="69"/>
      <c r="L30" s="70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4.25" hidden="1" customHeight="1" x14ac:dyDescent="0.3">
      <c r="A31" s="61"/>
      <c r="B31" s="82" t="s">
        <v>76</v>
      </c>
      <c r="C31" s="63"/>
      <c r="D31" s="63"/>
      <c r="E31" s="63"/>
      <c r="F31" s="63">
        <f t="shared" si="1"/>
        <v>0</v>
      </c>
      <c r="G31" s="64">
        <v>0</v>
      </c>
      <c r="H31" s="68"/>
      <c r="I31" s="69"/>
      <c r="J31" s="69"/>
      <c r="K31" s="69"/>
      <c r="L31" s="70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4.25" hidden="1" customHeight="1" x14ac:dyDescent="0.3">
      <c r="A32" s="61"/>
      <c r="B32" s="82" t="s">
        <v>77</v>
      </c>
      <c r="C32" s="63"/>
      <c r="D32" s="63"/>
      <c r="E32" s="63"/>
      <c r="F32" s="63">
        <f t="shared" si="1"/>
        <v>0</v>
      </c>
      <c r="G32" s="64">
        <v>0</v>
      </c>
      <c r="H32" s="68"/>
      <c r="I32" s="69"/>
      <c r="J32" s="69"/>
      <c r="K32" s="69"/>
      <c r="L32" s="70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4.25" hidden="1" customHeight="1" x14ac:dyDescent="0.3">
      <c r="A33" s="61"/>
      <c r="B33" s="82" t="s">
        <v>78</v>
      </c>
      <c r="C33" s="63"/>
      <c r="D33" s="63"/>
      <c r="E33" s="63"/>
      <c r="F33" s="63">
        <f t="shared" si="1"/>
        <v>0</v>
      </c>
      <c r="G33" s="72">
        <v>0</v>
      </c>
      <c r="H33" s="68"/>
      <c r="I33" s="69"/>
      <c r="J33" s="69"/>
      <c r="K33" s="69"/>
      <c r="L33" s="70"/>
    </row>
    <row r="34" spans="1:26" ht="14.25" hidden="1" customHeight="1" x14ac:dyDescent="0.3">
      <c r="A34" s="61"/>
      <c r="B34" s="82" t="s">
        <v>79</v>
      </c>
      <c r="C34" s="63"/>
      <c r="D34" s="63"/>
      <c r="E34" s="63"/>
      <c r="F34" s="63">
        <f t="shared" si="1"/>
        <v>0</v>
      </c>
      <c r="G34" s="72">
        <v>0</v>
      </c>
      <c r="H34" s="68"/>
      <c r="I34" s="69"/>
      <c r="J34" s="69"/>
      <c r="K34" s="69"/>
      <c r="L34" s="70"/>
    </row>
    <row r="35" spans="1:26" ht="14.25" hidden="1" customHeight="1" x14ac:dyDescent="0.3">
      <c r="A35" s="61"/>
      <c r="B35" s="82" t="s">
        <v>80</v>
      </c>
      <c r="C35" s="63"/>
      <c r="D35" s="63"/>
      <c r="E35" s="63"/>
      <c r="F35" s="63">
        <f t="shared" si="1"/>
        <v>0</v>
      </c>
      <c r="G35" s="72"/>
      <c r="H35" s="68"/>
      <c r="I35" s="69"/>
      <c r="J35" s="69"/>
      <c r="K35" s="69"/>
      <c r="L35" s="70"/>
    </row>
    <row r="36" spans="1:26" ht="14.25" hidden="1" customHeight="1" x14ac:dyDescent="0.3">
      <c r="A36" s="61"/>
      <c r="B36" s="82" t="s">
        <v>81</v>
      </c>
      <c r="C36" s="63"/>
      <c r="D36" s="63"/>
      <c r="E36" s="63"/>
      <c r="F36" s="63">
        <f t="shared" si="1"/>
        <v>0</v>
      </c>
      <c r="G36" s="72">
        <v>0</v>
      </c>
      <c r="H36" s="68"/>
      <c r="I36" s="69"/>
      <c r="J36" s="69"/>
      <c r="K36" s="69"/>
      <c r="L36" s="70"/>
    </row>
    <row r="37" spans="1:26" ht="14.25" hidden="1" customHeight="1" x14ac:dyDescent="0.3">
      <c r="A37" s="73"/>
      <c r="B37" s="82" t="s">
        <v>82</v>
      </c>
      <c r="C37" s="63"/>
      <c r="D37" s="63"/>
      <c r="E37" s="63"/>
      <c r="F37" s="63">
        <f t="shared" si="1"/>
        <v>0</v>
      </c>
      <c r="G37" s="72">
        <v>0</v>
      </c>
      <c r="H37" s="68"/>
      <c r="I37" s="69"/>
      <c r="J37" s="69"/>
      <c r="K37" s="69"/>
      <c r="L37" s="70"/>
    </row>
    <row r="38" spans="1:26" ht="14.25" hidden="1" customHeight="1" x14ac:dyDescent="0.3">
      <c r="A38" s="75" t="s">
        <v>83</v>
      </c>
      <c r="B38" s="53"/>
      <c r="C38" s="76"/>
      <c r="D38" s="76"/>
      <c r="E38" s="76"/>
      <c r="F38" s="76"/>
      <c r="G38" s="77">
        <f>SUM(G33:G37)</f>
        <v>0</v>
      </c>
      <c r="H38" s="78"/>
      <c r="I38" s="79"/>
      <c r="J38" s="79"/>
      <c r="K38" s="79"/>
      <c r="L38" s="80"/>
    </row>
    <row r="39" spans="1:26" ht="14.25" hidden="1" customHeight="1" x14ac:dyDescent="0.3">
      <c r="A39" s="57"/>
      <c r="B39" s="58" t="s">
        <v>61</v>
      </c>
      <c r="C39" s="58" t="s">
        <v>62</v>
      </c>
      <c r="D39" s="58" t="s">
        <v>63</v>
      </c>
      <c r="E39" s="58" t="s">
        <v>64</v>
      </c>
      <c r="F39" s="58" t="s">
        <v>10</v>
      </c>
      <c r="G39" s="59" t="s">
        <v>84</v>
      </c>
      <c r="H39" s="81"/>
      <c r="I39" s="66"/>
      <c r="J39" s="66"/>
      <c r="K39" s="66"/>
      <c r="L39" s="67"/>
    </row>
    <row r="40" spans="1:26" ht="14.25" hidden="1" customHeight="1" x14ac:dyDescent="0.3">
      <c r="A40" s="61"/>
      <c r="B40" s="82" t="s">
        <v>67</v>
      </c>
      <c r="C40" s="63"/>
      <c r="D40" s="63"/>
      <c r="E40" s="63"/>
      <c r="F40" s="63">
        <f t="shared" ref="F40:F55" si="2">SUM(C40:E40)</f>
        <v>0</v>
      </c>
      <c r="G40" s="64">
        <v>0</v>
      </c>
      <c r="H40" s="68"/>
      <c r="I40" s="69"/>
      <c r="J40" s="69"/>
      <c r="K40" s="69"/>
      <c r="L40" s="70"/>
    </row>
    <row r="41" spans="1:26" ht="14.25" hidden="1" customHeight="1" x14ac:dyDescent="0.3">
      <c r="A41" s="61"/>
      <c r="B41" s="82" t="s">
        <v>68</v>
      </c>
      <c r="C41" s="63"/>
      <c r="D41" s="63"/>
      <c r="E41" s="63"/>
      <c r="F41" s="63">
        <f t="shared" si="2"/>
        <v>0</v>
      </c>
      <c r="G41" s="64">
        <v>0</v>
      </c>
      <c r="H41" s="68"/>
      <c r="I41" s="69"/>
      <c r="J41" s="69"/>
      <c r="K41" s="69"/>
      <c r="L41" s="70"/>
    </row>
    <row r="42" spans="1:26" ht="14.25" hidden="1" customHeight="1" x14ac:dyDescent="0.3">
      <c r="A42" s="61"/>
      <c r="B42" s="82" t="s">
        <v>69</v>
      </c>
      <c r="C42" s="63"/>
      <c r="D42" s="63"/>
      <c r="E42" s="63"/>
      <c r="F42" s="63">
        <f t="shared" si="2"/>
        <v>0</v>
      </c>
      <c r="G42" s="64">
        <v>0</v>
      </c>
      <c r="H42" s="68"/>
      <c r="I42" s="69"/>
      <c r="J42" s="69"/>
      <c r="K42" s="69"/>
      <c r="L42" s="70"/>
    </row>
    <row r="43" spans="1:26" ht="14.25" hidden="1" customHeight="1" x14ac:dyDescent="0.3">
      <c r="A43" s="61"/>
      <c r="B43" s="82" t="s">
        <v>70</v>
      </c>
      <c r="C43" s="63"/>
      <c r="D43" s="63"/>
      <c r="E43" s="63"/>
      <c r="F43" s="63">
        <f t="shared" si="2"/>
        <v>0</v>
      </c>
      <c r="G43" s="64">
        <v>0</v>
      </c>
      <c r="H43" s="68"/>
      <c r="I43" s="69"/>
      <c r="J43" s="69"/>
      <c r="K43" s="69"/>
      <c r="L43" s="70"/>
    </row>
    <row r="44" spans="1:26" ht="14.25" hidden="1" customHeight="1" x14ac:dyDescent="0.3">
      <c r="A44" s="61"/>
      <c r="B44" s="82" t="s">
        <v>71</v>
      </c>
      <c r="C44" s="63"/>
      <c r="D44" s="63"/>
      <c r="E44" s="63"/>
      <c r="F44" s="63">
        <f t="shared" si="2"/>
        <v>0</v>
      </c>
      <c r="G44" s="64">
        <v>0</v>
      </c>
      <c r="H44" s="68"/>
      <c r="I44" s="69"/>
      <c r="J44" s="69"/>
      <c r="K44" s="69"/>
      <c r="L44" s="70"/>
    </row>
    <row r="45" spans="1:26" ht="14.25" hidden="1" customHeight="1" x14ac:dyDescent="0.3">
      <c r="A45" s="61"/>
      <c r="B45" s="82" t="s">
        <v>72</v>
      </c>
      <c r="C45" s="63"/>
      <c r="D45" s="63"/>
      <c r="E45" s="63"/>
      <c r="F45" s="63">
        <f t="shared" si="2"/>
        <v>0</v>
      </c>
      <c r="G45" s="64">
        <v>0</v>
      </c>
      <c r="H45" s="68"/>
      <c r="I45" s="69"/>
      <c r="J45" s="69"/>
      <c r="K45" s="69"/>
      <c r="L45" s="70"/>
    </row>
    <row r="46" spans="1:26" ht="14.25" hidden="1" customHeight="1" x14ac:dyDescent="0.3">
      <c r="A46" s="61"/>
      <c r="B46" s="82" t="s">
        <v>73</v>
      </c>
      <c r="C46" s="63"/>
      <c r="D46" s="63"/>
      <c r="E46" s="63"/>
      <c r="F46" s="63">
        <f t="shared" si="2"/>
        <v>0</v>
      </c>
      <c r="G46" s="64">
        <v>0</v>
      </c>
      <c r="H46" s="68"/>
      <c r="I46" s="69"/>
      <c r="J46" s="69"/>
      <c r="K46" s="69"/>
      <c r="L46" s="70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4.25" hidden="1" customHeight="1" x14ac:dyDescent="0.3">
      <c r="A47" s="61"/>
      <c r="B47" s="82" t="s">
        <v>74</v>
      </c>
      <c r="C47" s="63"/>
      <c r="D47" s="63"/>
      <c r="E47" s="63"/>
      <c r="F47" s="63">
        <f t="shared" si="2"/>
        <v>0</v>
      </c>
      <c r="G47" s="64">
        <v>0</v>
      </c>
      <c r="H47" s="68"/>
      <c r="I47" s="69"/>
      <c r="J47" s="69"/>
      <c r="K47" s="69"/>
      <c r="L47" s="70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4.25" hidden="1" customHeight="1" x14ac:dyDescent="0.3">
      <c r="A48" s="61"/>
      <c r="B48" s="82" t="s">
        <v>75</v>
      </c>
      <c r="C48" s="63"/>
      <c r="D48" s="63"/>
      <c r="E48" s="63"/>
      <c r="F48" s="63">
        <f t="shared" si="2"/>
        <v>0</v>
      </c>
      <c r="G48" s="64">
        <v>0</v>
      </c>
      <c r="H48" s="68"/>
      <c r="I48" s="69"/>
      <c r="J48" s="69"/>
      <c r="K48" s="69"/>
      <c r="L48" s="70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4.25" hidden="1" customHeight="1" x14ac:dyDescent="0.3">
      <c r="A49" s="61"/>
      <c r="B49" s="82" t="s">
        <v>76</v>
      </c>
      <c r="C49" s="63"/>
      <c r="D49" s="63"/>
      <c r="E49" s="63"/>
      <c r="F49" s="63">
        <f t="shared" si="2"/>
        <v>0</v>
      </c>
      <c r="G49" s="64">
        <v>0</v>
      </c>
      <c r="H49" s="68"/>
      <c r="I49" s="69"/>
      <c r="J49" s="69"/>
      <c r="K49" s="69"/>
      <c r="L49" s="70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4.25" hidden="1" customHeight="1" x14ac:dyDescent="0.3">
      <c r="A50" s="61"/>
      <c r="B50" s="82" t="s">
        <v>77</v>
      </c>
      <c r="C50" s="63"/>
      <c r="D50" s="63"/>
      <c r="E50" s="63"/>
      <c r="F50" s="63">
        <f t="shared" si="2"/>
        <v>0</v>
      </c>
      <c r="G50" s="64">
        <v>0</v>
      </c>
      <c r="H50" s="68"/>
      <c r="I50" s="69"/>
      <c r="J50" s="69"/>
      <c r="K50" s="69"/>
      <c r="L50" s="70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hidden="1" customHeight="1" x14ac:dyDescent="0.3">
      <c r="A51" s="61"/>
      <c r="B51" s="82" t="s">
        <v>78</v>
      </c>
      <c r="C51" s="63"/>
      <c r="D51" s="63"/>
      <c r="E51" s="63"/>
      <c r="F51" s="63">
        <f t="shared" si="2"/>
        <v>0</v>
      </c>
      <c r="G51" s="72">
        <v>0</v>
      </c>
      <c r="H51" s="68"/>
      <c r="I51" s="69"/>
      <c r="J51" s="69"/>
      <c r="K51" s="69"/>
      <c r="L51" s="70"/>
    </row>
    <row r="52" spans="1:26" ht="15.75" hidden="1" customHeight="1" x14ac:dyDescent="0.3">
      <c r="A52" s="61"/>
      <c r="B52" s="82" t="s">
        <v>79</v>
      </c>
      <c r="C52" s="63"/>
      <c r="D52" s="63"/>
      <c r="E52" s="63"/>
      <c r="F52" s="63">
        <f t="shared" si="2"/>
        <v>0</v>
      </c>
      <c r="G52" s="72">
        <v>0</v>
      </c>
      <c r="H52" s="68"/>
      <c r="I52" s="69"/>
      <c r="J52" s="69"/>
      <c r="K52" s="69"/>
      <c r="L52" s="70"/>
    </row>
    <row r="53" spans="1:26" ht="15.75" hidden="1" customHeight="1" x14ac:dyDescent="0.3">
      <c r="A53" s="61"/>
      <c r="B53" s="82" t="s">
        <v>80</v>
      </c>
      <c r="C53" s="63"/>
      <c r="D53" s="63"/>
      <c r="E53" s="63"/>
      <c r="F53" s="63">
        <f t="shared" si="2"/>
        <v>0</v>
      </c>
      <c r="G53" s="72">
        <v>0</v>
      </c>
      <c r="H53" s="68"/>
      <c r="I53" s="69"/>
      <c r="J53" s="69"/>
      <c r="K53" s="69"/>
      <c r="L53" s="70"/>
    </row>
    <row r="54" spans="1:26" ht="15.05" hidden="1" customHeight="1" x14ac:dyDescent="0.3">
      <c r="A54" s="61"/>
      <c r="B54" s="82" t="s">
        <v>81</v>
      </c>
      <c r="C54" s="63"/>
      <c r="D54" s="63"/>
      <c r="E54" s="63"/>
      <c r="F54" s="63">
        <f t="shared" si="2"/>
        <v>0</v>
      </c>
      <c r="G54" s="72">
        <v>0</v>
      </c>
      <c r="H54" s="68"/>
      <c r="I54" s="69"/>
      <c r="J54" s="69"/>
      <c r="K54" s="69"/>
      <c r="L54" s="70"/>
    </row>
    <row r="55" spans="1:26" ht="15.75" hidden="1" customHeight="1" x14ac:dyDescent="0.3">
      <c r="A55" s="73"/>
      <c r="B55" s="82" t="s">
        <v>82</v>
      </c>
      <c r="C55" s="63"/>
      <c r="D55" s="63"/>
      <c r="E55" s="63"/>
      <c r="F55" s="63">
        <f t="shared" si="2"/>
        <v>0</v>
      </c>
      <c r="G55" s="72">
        <v>0</v>
      </c>
      <c r="H55" s="68"/>
      <c r="I55" s="69"/>
      <c r="J55" s="69"/>
      <c r="K55" s="69"/>
      <c r="L55" s="70"/>
    </row>
    <row r="56" spans="1:26" ht="15.75" hidden="1" customHeight="1" x14ac:dyDescent="0.3">
      <c r="A56" s="75" t="s">
        <v>83</v>
      </c>
      <c r="B56" s="53"/>
      <c r="C56" s="76"/>
      <c r="D56" s="76"/>
      <c r="E56" s="76"/>
      <c r="F56" s="76"/>
      <c r="G56" s="77">
        <f>SUM(G51:G55)</f>
        <v>0</v>
      </c>
      <c r="H56" s="78"/>
      <c r="I56" s="79"/>
      <c r="J56" s="79"/>
      <c r="K56" s="79"/>
      <c r="L56" s="80"/>
    </row>
    <row r="57" spans="1:26" ht="15.75" hidden="1" customHeight="1" x14ac:dyDescent="0.3">
      <c r="A57" s="57" t="s">
        <v>85</v>
      </c>
      <c r="B57" s="58" t="s">
        <v>61</v>
      </c>
      <c r="C57" s="58" t="s">
        <v>62</v>
      </c>
      <c r="D57" s="58" t="s">
        <v>63</v>
      </c>
      <c r="E57" s="58" t="s">
        <v>64</v>
      </c>
      <c r="F57" s="58" t="s">
        <v>10</v>
      </c>
      <c r="G57" s="59" t="s">
        <v>65</v>
      </c>
      <c r="H57" s="81"/>
      <c r="I57" s="66"/>
      <c r="J57" s="66"/>
      <c r="K57" s="66"/>
      <c r="L57" s="67"/>
    </row>
    <row r="58" spans="1:26" ht="15.75" hidden="1" customHeight="1" x14ac:dyDescent="0.3">
      <c r="A58" s="61"/>
      <c r="B58" s="82" t="s">
        <v>67</v>
      </c>
      <c r="C58" s="63"/>
      <c r="D58" s="63"/>
      <c r="E58" s="63"/>
      <c r="F58" s="63">
        <f t="shared" ref="F58:F73" si="3">SUM(C58:E58)</f>
        <v>0</v>
      </c>
      <c r="G58" s="64">
        <v>0</v>
      </c>
      <c r="H58" s="68"/>
      <c r="I58" s="69"/>
      <c r="J58" s="69"/>
      <c r="K58" s="69"/>
      <c r="L58" s="70"/>
    </row>
    <row r="59" spans="1:26" ht="15.75" hidden="1" customHeight="1" x14ac:dyDescent="0.3">
      <c r="A59" s="61"/>
      <c r="B59" s="82" t="s">
        <v>68</v>
      </c>
      <c r="C59" s="63"/>
      <c r="D59" s="63"/>
      <c r="E59" s="63"/>
      <c r="F59" s="63">
        <f t="shared" si="3"/>
        <v>0</v>
      </c>
      <c r="G59" s="64">
        <v>0</v>
      </c>
      <c r="H59" s="68"/>
      <c r="I59" s="69"/>
      <c r="J59" s="69"/>
      <c r="K59" s="69"/>
      <c r="L59" s="70"/>
    </row>
    <row r="60" spans="1:26" ht="15.75" hidden="1" customHeight="1" x14ac:dyDescent="0.3">
      <c r="A60" s="61"/>
      <c r="B60" s="82" t="s">
        <v>69</v>
      </c>
      <c r="C60" s="63"/>
      <c r="D60" s="63"/>
      <c r="E60" s="63"/>
      <c r="F60" s="63">
        <f t="shared" si="3"/>
        <v>0</v>
      </c>
      <c r="G60" s="64">
        <v>0</v>
      </c>
      <c r="H60" s="68"/>
      <c r="I60" s="69"/>
      <c r="J60" s="69"/>
      <c r="K60" s="69"/>
      <c r="L60" s="70"/>
    </row>
    <row r="61" spans="1:26" ht="15.75" hidden="1" customHeight="1" x14ac:dyDescent="0.3">
      <c r="A61" s="61"/>
      <c r="B61" s="82" t="s">
        <v>70</v>
      </c>
      <c r="C61" s="63"/>
      <c r="D61" s="63"/>
      <c r="E61" s="63"/>
      <c r="F61" s="63">
        <f t="shared" si="3"/>
        <v>0</v>
      </c>
      <c r="G61" s="64">
        <v>0</v>
      </c>
      <c r="H61" s="68"/>
      <c r="I61" s="69"/>
      <c r="J61" s="69"/>
      <c r="K61" s="69"/>
      <c r="L61" s="70"/>
    </row>
    <row r="62" spans="1:26" ht="15.75" hidden="1" customHeight="1" x14ac:dyDescent="0.3">
      <c r="A62" s="61"/>
      <c r="B62" s="82" t="s">
        <v>71</v>
      </c>
      <c r="C62" s="63"/>
      <c r="D62" s="63"/>
      <c r="E62" s="63"/>
      <c r="F62" s="63">
        <f t="shared" si="3"/>
        <v>0</v>
      </c>
      <c r="G62" s="64">
        <v>0</v>
      </c>
      <c r="H62" s="68"/>
      <c r="I62" s="69"/>
      <c r="J62" s="69"/>
      <c r="K62" s="69"/>
      <c r="L62" s="70"/>
    </row>
    <row r="63" spans="1:26" ht="15.75" hidden="1" customHeight="1" x14ac:dyDescent="0.3">
      <c r="A63" s="61"/>
      <c r="B63" s="82" t="s">
        <v>72</v>
      </c>
      <c r="C63" s="63"/>
      <c r="D63" s="63"/>
      <c r="E63" s="63"/>
      <c r="F63" s="63">
        <f t="shared" si="3"/>
        <v>0</v>
      </c>
      <c r="G63" s="64">
        <v>0</v>
      </c>
      <c r="H63" s="68"/>
      <c r="I63" s="69"/>
      <c r="J63" s="69"/>
      <c r="K63" s="69"/>
      <c r="L63" s="70"/>
    </row>
    <row r="64" spans="1:26" ht="15.75" hidden="1" customHeight="1" x14ac:dyDescent="0.3">
      <c r="A64" s="61"/>
      <c r="B64" s="82" t="s">
        <v>73</v>
      </c>
      <c r="C64" s="63"/>
      <c r="D64" s="63"/>
      <c r="E64" s="63"/>
      <c r="F64" s="63">
        <f t="shared" si="3"/>
        <v>0</v>
      </c>
      <c r="G64" s="64">
        <v>0</v>
      </c>
      <c r="H64" s="68"/>
      <c r="I64" s="69"/>
      <c r="J64" s="69"/>
      <c r="K64" s="69"/>
      <c r="L64" s="70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hidden="1" customHeight="1" x14ac:dyDescent="0.3">
      <c r="A65" s="61"/>
      <c r="B65" s="82" t="s">
        <v>74</v>
      </c>
      <c r="C65" s="63"/>
      <c r="D65" s="63"/>
      <c r="E65" s="63"/>
      <c r="F65" s="63">
        <f t="shared" si="3"/>
        <v>0</v>
      </c>
      <c r="G65" s="64">
        <v>0</v>
      </c>
      <c r="H65" s="68"/>
      <c r="I65" s="69"/>
      <c r="J65" s="69"/>
      <c r="K65" s="69"/>
      <c r="L65" s="70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hidden="1" customHeight="1" x14ac:dyDescent="0.3">
      <c r="A66" s="61"/>
      <c r="B66" s="82" t="s">
        <v>75</v>
      </c>
      <c r="C66" s="63"/>
      <c r="D66" s="63"/>
      <c r="E66" s="63"/>
      <c r="F66" s="63">
        <f t="shared" si="3"/>
        <v>0</v>
      </c>
      <c r="G66" s="64">
        <v>0</v>
      </c>
      <c r="H66" s="68"/>
      <c r="I66" s="69"/>
      <c r="J66" s="69"/>
      <c r="K66" s="69"/>
      <c r="L66" s="70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hidden="1" customHeight="1" x14ac:dyDescent="0.3">
      <c r="A67" s="61"/>
      <c r="B67" s="82" t="s">
        <v>76</v>
      </c>
      <c r="C67" s="63"/>
      <c r="D67" s="63"/>
      <c r="E67" s="63"/>
      <c r="F67" s="63">
        <f t="shared" si="3"/>
        <v>0</v>
      </c>
      <c r="G67" s="64">
        <v>0</v>
      </c>
      <c r="H67" s="68"/>
      <c r="I67" s="69"/>
      <c r="J67" s="69"/>
      <c r="K67" s="69"/>
      <c r="L67" s="70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hidden="1" customHeight="1" x14ac:dyDescent="0.3">
      <c r="A68" s="61"/>
      <c r="B68" s="82" t="s">
        <v>77</v>
      </c>
      <c r="C68" s="63"/>
      <c r="D68" s="63"/>
      <c r="E68" s="63"/>
      <c r="F68" s="63">
        <f t="shared" si="3"/>
        <v>0</v>
      </c>
      <c r="G68" s="64">
        <v>0</v>
      </c>
      <c r="H68" s="68"/>
      <c r="I68" s="69"/>
      <c r="J68" s="69"/>
      <c r="K68" s="69"/>
      <c r="L68" s="70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hidden="1" customHeight="1" x14ac:dyDescent="0.3">
      <c r="A69" s="61"/>
      <c r="B69" s="82" t="s">
        <v>78</v>
      </c>
      <c r="C69" s="63"/>
      <c r="D69" s="63"/>
      <c r="E69" s="63"/>
      <c r="F69" s="63">
        <f t="shared" si="3"/>
        <v>0</v>
      </c>
      <c r="G69" s="72">
        <v>0</v>
      </c>
      <c r="H69" s="68"/>
      <c r="I69" s="69"/>
      <c r="J69" s="69"/>
      <c r="K69" s="69"/>
      <c r="L69" s="70"/>
    </row>
    <row r="70" spans="1:26" ht="15.75" hidden="1" customHeight="1" x14ac:dyDescent="0.3">
      <c r="A70" s="61"/>
      <c r="B70" s="82" t="s">
        <v>79</v>
      </c>
      <c r="C70" s="63"/>
      <c r="D70" s="63"/>
      <c r="E70" s="63"/>
      <c r="F70" s="63">
        <f t="shared" si="3"/>
        <v>0</v>
      </c>
      <c r="G70" s="72">
        <v>0</v>
      </c>
      <c r="H70" s="68"/>
      <c r="I70" s="69"/>
      <c r="J70" s="69"/>
      <c r="K70" s="69"/>
      <c r="L70" s="70"/>
    </row>
    <row r="71" spans="1:26" ht="15.75" hidden="1" customHeight="1" x14ac:dyDescent="0.3">
      <c r="A71" s="61"/>
      <c r="B71" s="82" t="s">
        <v>80</v>
      </c>
      <c r="C71" s="63"/>
      <c r="D71" s="63"/>
      <c r="E71" s="63"/>
      <c r="F71" s="63">
        <f t="shared" si="3"/>
        <v>0</v>
      </c>
      <c r="G71" s="72">
        <v>0</v>
      </c>
      <c r="H71" s="68"/>
      <c r="I71" s="69"/>
      <c r="J71" s="69"/>
      <c r="K71" s="69"/>
      <c r="L71" s="70"/>
    </row>
    <row r="72" spans="1:26" ht="15.05" hidden="1" customHeight="1" x14ac:dyDescent="0.3">
      <c r="A72" s="61"/>
      <c r="B72" s="82" t="s">
        <v>81</v>
      </c>
      <c r="C72" s="63"/>
      <c r="D72" s="63"/>
      <c r="E72" s="63"/>
      <c r="F72" s="63">
        <f t="shared" si="3"/>
        <v>0</v>
      </c>
      <c r="G72" s="72">
        <v>0</v>
      </c>
      <c r="H72" s="68"/>
      <c r="I72" s="69"/>
      <c r="J72" s="69"/>
      <c r="K72" s="69"/>
      <c r="L72" s="70"/>
    </row>
    <row r="73" spans="1:26" ht="15.75" hidden="1" customHeight="1" x14ac:dyDescent="0.3">
      <c r="A73" s="73"/>
      <c r="B73" s="82" t="s">
        <v>82</v>
      </c>
      <c r="C73" s="63"/>
      <c r="D73" s="63"/>
      <c r="E73" s="63"/>
      <c r="F73" s="63">
        <f t="shared" si="3"/>
        <v>0</v>
      </c>
      <c r="G73" s="72">
        <v>0</v>
      </c>
      <c r="H73" s="68"/>
      <c r="I73" s="69"/>
      <c r="J73" s="69"/>
      <c r="K73" s="69"/>
      <c r="L73" s="70"/>
    </row>
    <row r="74" spans="1:26" ht="15.75" hidden="1" customHeight="1" x14ac:dyDescent="0.3">
      <c r="A74" s="75" t="s">
        <v>83</v>
      </c>
      <c r="B74" s="53"/>
      <c r="C74" s="76"/>
      <c r="D74" s="76"/>
      <c r="E74" s="76"/>
      <c r="F74" s="76"/>
      <c r="G74" s="77">
        <f>SUM(G69:G73)</f>
        <v>0</v>
      </c>
      <c r="H74" s="78"/>
      <c r="I74" s="79"/>
      <c r="J74" s="79"/>
      <c r="K74" s="79"/>
      <c r="L74" s="80"/>
    </row>
    <row r="75" spans="1:26" ht="15.75" customHeight="1" x14ac:dyDescent="0.3">
      <c r="A75" s="57" t="s">
        <v>86</v>
      </c>
      <c r="B75" s="58" t="s">
        <v>61</v>
      </c>
      <c r="C75" s="58" t="s">
        <v>62</v>
      </c>
      <c r="D75" s="58" t="s">
        <v>63</v>
      </c>
      <c r="E75" s="58" t="s">
        <v>64</v>
      </c>
      <c r="F75" s="58" t="s">
        <v>10</v>
      </c>
      <c r="G75" s="59" t="s">
        <v>65</v>
      </c>
      <c r="H75" s="81"/>
      <c r="I75" s="66"/>
      <c r="J75" s="66"/>
      <c r="K75" s="66"/>
      <c r="L75" s="67"/>
    </row>
    <row r="76" spans="1:26" ht="15.75" customHeight="1" x14ac:dyDescent="0.3">
      <c r="A76" s="61"/>
      <c r="B76" s="82" t="s">
        <v>67</v>
      </c>
      <c r="C76" s="63"/>
      <c r="D76" s="63"/>
      <c r="E76" s="63"/>
      <c r="F76" s="63">
        <f t="shared" ref="F76:F91" si="4">SUM(C76:E76)</f>
        <v>0</v>
      </c>
      <c r="G76" s="64">
        <v>0</v>
      </c>
      <c r="H76" s="68"/>
      <c r="I76" s="69"/>
      <c r="J76" s="69"/>
      <c r="K76" s="69"/>
      <c r="L76" s="70"/>
    </row>
    <row r="77" spans="1:26" ht="15.75" customHeight="1" x14ac:dyDescent="0.3">
      <c r="A77" s="61"/>
      <c r="B77" s="82" t="s">
        <v>68</v>
      </c>
      <c r="C77" s="63"/>
      <c r="D77" s="63"/>
      <c r="E77" s="63"/>
      <c r="F77" s="63">
        <f t="shared" si="4"/>
        <v>0</v>
      </c>
      <c r="G77" s="64">
        <v>0</v>
      </c>
      <c r="H77" s="68"/>
      <c r="I77" s="69"/>
      <c r="J77" s="69"/>
      <c r="K77" s="69"/>
      <c r="L77" s="70"/>
    </row>
    <row r="78" spans="1:26" ht="15.75" customHeight="1" x14ac:dyDescent="0.3">
      <c r="A78" s="61"/>
      <c r="B78" s="82" t="s">
        <v>69</v>
      </c>
      <c r="C78" s="63"/>
      <c r="D78" s="63"/>
      <c r="E78" s="63"/>
      <c r="F78" s="63">
        <f t="shared" si="4"/>
        <v>0</v>
      </c>
      <c r="G78" s="64">
        <v>0</v>
      </c>
      <c r="H78" s="68"/>
      <c r="I78" s="69"/>
      <c r="J78" s="69"/>
      <c r="K78" s="69"/>
      <c r="L78" s="70"/>
    </row>
    <row r="79" spans="1:26" ht="15.75" customHeight="1" x14ac:dyDescent="0.3">
      <c r="A79" s="61"/>
      <c r="B79" s="82" t="s">
        <v>70</v>
      </c>
      <c r="C79" s="63"/>
      <c r="D79" s="63"/>
      <c r="E79" s="63"/>
      <c r="F79" s="63">
        <f t="shared" si="4"/>
        <v>0</v>
      </c>
      <c r="G79" s="64">
        <v>0</v>
      </c>
      <c r="H79" s="68"/>
      <c r="I79" s="69"/>
      <c r="J79" s="69"/>
      <c r="K79" s="69"/>
      <c r="L79" s="70"/>
    </row>
    <row r="80" spans="1:26" ht="15.75" customHeight="1" x14ac:dyDescent="0.3">
      <c r="A80" s="61"/>
      <c r="B80" s="82" t="s">
        <v>71</v>
      </c>
      <c r="C80" s="63"/>
      <c r="D80" s="63"/>
      <c r="E80" s="63"/>
      <c r="F80" s="63">
        <f t="shared" si="4"/>
        <v>0</v>
      </c>
      <c r="G80" s="64">
        <v>0</v>
      </c>
      <c r="H80" s="68"/>
      <c r="I80" s="69"/>
      <c r="J80" s="69"/>
      <c r="K80" s="69"/>
      <c r="L80" s="70"/>
    </row>
    <row r="81" spans="1:26" ht="15.75" customHeight="1" x14ac:dyDescent="0.3">
      <c r="A81" s="61"/>
      <c r="B81" s="82" t="s">
        <v>72</v>
      </c>
      <c r="C81" s="63"/>
      <c r="D81" s="63"/>
      <c r="E81" s="63"/>
      <c r="F81" s="63">
        <f t="shared" si="4"/>
        <v>0</v>
      </c>
      <c r="G81" s="64">
        <v>0</v>
      </c>
      <c r="H81" s="68"/>
      <c r="I81" s="69"/>
      <c r="J81" s="69"/>
      <c r="K81" s="69"/>
      <c r="L81" s="70"/>
    </row>
    <row r="82" spans="1:26" ht="15.75" customHeight="1" x14ac:dyDescent="0.3">
      <c r="A82" s="61"/>
      <c r="B82" s="82" t="s">
        <v>73</v>
      </c>
      <c r="C82" s="63"/>
      <c r="D82" s="63"/>
      <c r="E82" s="63"/>
      <c r="F82" s="63">
        <f t="shared" si="4"/>
        <v>0</v>
      </c>
      <c r="G82" s="64">
        <v>0</v>
      </c>
      <c r="H82" s="68"/>
      <c r="I82" s="69"/>
      <c r="J82" s="69"/>
      <c r="K82" s="69"/>
      <c r="L82" s="70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 x14ac:dyDescent="0.3">
      <c r="A83" s="61"/>
      <c r="B83" s="82" t="s">
        <v>74</v>
      </c>
      <c r="C83" s="63"/>
      <c r="D83" s="63"/>
      <c r="E83" s="63"/>
      <c r="F83" s="63">
        <f t="shared" si="4"/>
        <v>0</v>
      </c>
      <c r="G83" s="64">
        <v>0</v>
      </c>
      <c r="H83" s="68"/>
      <c r="I83" s="69"/>
      <c r="J83" s="69"/>
      <c r="K83" s="69"/>
      <c r="L83" s="70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 x14ac:dyDescent="0.3">
      <c r="A84" s="61"/>
      <c r="B84" s="82" t="s">
        <v>75</v>
      </c>
      <c r="C84" s="63"/>
      <c r="D84" s="63"/>
      <c r="E84" s="63"/>
      <c r="F84" s="63">
        <f t="shared" si="4"/>
        <v>0</v>
      </c>
      <c r="G84" s="64">
        <v>0</v>
      </c>
      <c r="H84" s="68"/>
      <c r="I84" s="69"/>
      <c r="J84" s="69"/>
      <c r="K84" s="69"/>
      <c r="L84" s="70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3">
      <c r="A85" s="61"/>
      <c r="B85" s="82" t="s">
        <v>76</v>
      </c>
      <c r="C85" s="63"/>
      <c r="D85" s="63"/>
      <c r="E85" s="63"/>
      <c r="F85" s="63">
        <f t="shared" si="4"/>
        <v>0</v>
      </c>
      <c r="G85" s="64">
        <v>0</v>
      </c>
      <c r="H85" s="68"/>
      <c r="I85" s="69"/>
      <c r="J85" s="69"/>
      <c r="K85" s="69"/>
      <c r="L85" s="70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3">
      <c r="A86" s="61"/>
      <c r="B86" s="82" t="s">
        <v>77</v>
      </c>
      <c r="C86" s="63"/>
      <c r="D86" s="63"/>
      <c r="E86" s="63"/>
      <c r="F86" s="63">
        <f t="shared" si="4"/>
        <v>0</v>
      </c>
      <c r="G86" s="64">
        <v>0</v>
      </c>
      <c r="H86" s="68"/>
      <c r="I86" s="69"/>
      <c r="J86" s="69"/>
      <c r="K86" s="69"/>
      <c r="L86" s="70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 x14ac:dyDescent="0.3">
      <c r="A87" s="61"/>
      <c r="B87" s="82" t="s">
        <v>78</v>
      </c>
      <c r="C87" s="63"/>
      <c r="D87" s="63"/>
      <c r="E87" s="63"/>
      <c r="F87" s="63">
        <f t="shared" si="4"/>
        <v>0</v>
      </c>
      <c r="G87" s="72"/>
      <c r="H87" s="68"/>
      <c r="I87" s="69"/>
      <c r="J87" s="69"/>
      <c r="K87" s="69"/>
      <c r="L87" s="70"/>
    </row>
    <row r="88" spans="1:26" ht="15.75" customHeight="1" x14ac:dyDescent="0.3">
      <c r="A88" s="61"/>
      <c r="B88" s="82" t="s">
        <v>79</v>
      </c>
      <c r="C88" s="63"/>
      <c r="D88" s="63"/>
      <c r="E88" s="63"/>
      <c r="F88" s="63">
        <f t="shared" si="4"/>
        <v>0</v>
      </c>
      <c r="G88" s="72">
        <v>0</v>
      </c>
      <c r="H88" s="68"/>
      <c r="I88" s="69"/>
      <c r="J88" s="69"/>
      <c r="K88" s="69"/>
      <c r="L88" s="70"/>
    </row>
    <row r="89" spans="1:26" ht="15.75" customHeight="1" x14ac:dyDescent="0.3">
      <c r="A89" s="61"/>
      <c r="B89" s="82" t="s">
        <v>80</v>
      </c>
      <c r="C89" s="63"/>
      <c r="D89" s="63"/>
      <c r="E89" s="63"/>
      <c r="F89" s="63">
        <f t="shared" si="4"/>
        <v>0</v>
      </c>
      <c r="G89" s="72"/>
      <c r="H89" s="68"/>
      <c r="I89" s="69"/>
      <c r="J89" s="69"/>
      <c r="K89" s="69"/>
      <c r="L89" s="70"/>
    </row>
    <row r="90" spans="1:26" ht="15.05" customHeight="1" x14ac:dyDescent="0.3">
      <c r="A90" s="61"/>
      <c r="B90" s="82" t="s">
        <v>81</v>
      </c>
      <c r="C90" s="63"/>
      <c r="D90" s="63"/>
      <c r="E90" s="63"/>
      <c r="F90" s="63">
        <f t="shared" si="4"/>
        <v>0</v>
      </c>
      <c r="G90" s="72"/>
      <c r="H90" s="68"/>
      <c r="I90" s="69"/>
      <c r="J90" s="69"/>
      <c r="K90" s="69"/>
      <c r="L90" s="70"/>
    </row>
    <row r="91" spans="1:26" ht="15.75" customHeight="1" x14ac:dyDescent="0.3">
      <c r="A91" s="73"/>
      <c r="B91" s="82" t="s">
        <v>82</v>
      </c>
      <c r="C91" s="63"/>
      <c r="D91" s="63"/>
      <c r="E91" s="63"/>
      <c r="F91" s="63">
        <f t="shared" si="4"/>
        <v>0</v>
      </c>
      <c r="G91" s="72"/>
      <c r="H91" s="68"/>
      <c r="I91" s="69"/>
      <c r="J91" s="69"/>
      <c r="K91" s="69"/>
      <c r="L91" s="70"/>
    </row>
    <row r="92" spans="1:26" ht="15.75" customHeight="1" x14ac:dyDescent="0.3">
      <c r="A92" s="75" t="s">
        <v>83</v>
      </c>
      <c r="B92" s="53"/>
      <c r="C92" s="76"/>
      <c r="D92" s="76"/>
      <c r="E92" s="76"/>
      <c r="F92" s="76"/>
      <c r="G92" s="77">
        <f>SUM(G87:G91)</f>
        <v>0</v>
      </c>
      <c r="H92" s="78"/>
      <c r="I92" s="79"/>
      <c r="J92" s="79"/>
      <c r="K92" s="79"/>
      <c r="L92" s="80"/>
    </row>
    <row r="93" spans="1:26" ht="15.75" customHeight="1" x14ac:dyDescent="0.3">
      <c r="A93" s="57" t="s">
        <v>83</v>
      </c>
      <c r="B93" s="58" t="s">
        <v>61</v>
      </c>
      <c r="C93" s="58" t="s">
        <v>62</v>
      </c>
      <c r="D93" s="58" t="s">
        <v>63</v>
      </c>
      <c r="E93" s="58" t="s">
        <v>64</v>
      </c>
      <c r="F93" s="58" t="s">
        <v>10</v>
      </c>
      <c r="G93" s="59" t="s">
        <v>65</v>
      </c>
      <c r="H93" s="81"/>
      <c r="I93" s="66"/>
      <c r="J93" s="66"/>
      <c r="K93" s="66"/>
      <c r="L93" s="67"/>
    </row>
    <row r="94" spans="1:26" ht="15.75" customHeight="1" x14ac:dyDescent="0.3">
      <c r="A94" s="61"/>
      <c r="B94" s="82" t="s">
        <v>67</v>
      </c>
      <c r="C94" s="63">
        <f t="shared" ref="C94:E109" si="5">+C4+C22+C40+C58+C76</f>
        <v>0</v>
      </c>
      <c r="D94" s="63">
        <f t="shared" si="5"/>
        <v>0</v>
      </c>
      <c r="E94" s="63">
        <f t="shared" si="5"/>
        <v>0</v>
      </c>
      <c r="F94" s="63">
        <f t="shared" ref="F94:F109" si="6">SUM(C94:E94)</f>
        <v>0</v>
      </c>
      <c r="G94" s="64">
        <f t="shared" ref="G94:G109" si="7">+G4+G22+G40+G58+G76</f>
        <v>0</v>
      </c>
      <c r="H94" s="68"/>
      <c r="I94" s="69"/>
      <c r="J94" s="69"/>
      <c r="K94" s="69"/>
      <c r="L94" s="70"/>
    </row>
    <row r="95" spans="1:26" ht="15.75" customHeight="1" x14ac:dyDescent="0.3">
      <c r="A95" s="61"/>
      <c r="B95" s="82" t="s">
        <v>68</v>
      </c>
      <c r="C95" s="63">
        <f t="shared" si="5"/>
        <v>0</v>
      </c>
      <c r="D95" s="63">
        <f t="shared" si="5"/>
        <v>0</v>
      </c>
      <c r="E95" s="63">
        <f t="shared" si="5"/>
        <v>0</v>
      </c>
      <c r="F95" s="63">
        <f t="shared" si="6"/>
        <v>0</v>
      </c>
      <c r="G95" s="64">
        <f t="shared" si="7"/>
        <v>0</v>
      </c>
      <c r="H95" s="68"/>
      <c r="I95" s="69"/>
      <c r="J95" s="69"/>
      <c r="K95" s="69"/>
      <c r="L95" s="70"/>
    </row>
    <row r="96" spans="1:26" ht="15.75" customHeight="1" x14ac:dyDescent="0.3">
      <c r="A96" s="61"/>
      <c r="B96" s="82" t="s">
        <v>69</v>
      </c>
      <c r="C96" s="63">
        <f t="shared" si="5"/>
        <v>0</v>
      </c>
      <c r="D96" s="63">
        <f t="shared" si="5"/>
        <v>0</v>
      </c>
      <c r="E96" s="63">
        <f t="shared" si="5"/>
        <v>0</v>
      </c>
      <c r="F96" s="63">
        <f t="shared" si="6"/>
        <v>0</v>
      </c>
      <c r="G96" s="64">
        <f t="shared" si="7"/>
        <v>0</v>
      </c>
      <c r="H96" s="68"/>
      <c r="I96" s="69"/>
      <c r="J96" s="69"/>
      <c r="K96" s="69"/>
      <c r="L96" s="70"/>
    </row>
    <row r="97" spans="1:26" ht="15.75" customHeight="1" x14ac:dyDescent="0.3">
      <c r="A97" s="61"/>
      <c r="B97" s="82" t="s">
        <v>70</v>
      </c>
      <c r="C97" s="63">
        <f t="shared" si="5"/>
        <v>0</v>
      </c>
      <c r="D97" s="63">
        <f t="shared" si="5"/>
        <v>0</v>
      </c>
      <c r="E97" s="63">
        <f t="shared" si="5"/>
        <v>0</v>
      </c>
      <c r="F97" s="63">
        <f t="shared" si="6"/>
        <v>0</v>
      </c>
      <c r="G97" s="64">
        <f t="shared" si="7"/>
        <v>0</v>
      </c>
      <c r="H97" s="68"/>
      <c r="I97" s="69"/>
      <c r="J97" s="69"/>
      <c r="K97" s="69"/>
      <c r="L97" s="70"/>
    </row>
    <row r="98" spans="1:26" ht="15.75" customHeight="1" x14ac:dyDescent="0.3">
      <c r="A98" s="61"/>
      <c r="B98" s="82" t="s">
        <v>71</v>
      </c>
      <c r="C98" s="63">
        <f t="shared" si="5"/>
        <v>0</v>
      </c>
      <c r="D98" s="63">
        <f t="shared" si="5"/>
        <v>0</v>
      </c>
      <c r="E98" s="63">
        <f t="shared" si="5"/>
        <v>0</v>
      </c>
      <c r="F98" s="63">
        <f t="shared" si="6"/>
        <v>0</v>
      </c>
      <c r="G98" s="64">
        <f t="shared" si="7"/>
        <v>0</v>
      </c>
      <c r="H98" s="68"/>
      <c r="I98" s="69"/>
      <c r="J98" s="69"/>
      <c r="K98" s="69"/>
      <c r="L98" s="70"/>
    </row>
    <row r="99" spans="1:26" ht="15.75" customHeight="1" x14ac:dyDescent="0.3">
      <c r="A99" s="61"/>
      <c r="B99" s="82" t="s">
        <v>72</v>
      </c>
      <c r="C99" s="63">
        <f t="shared" si="5"/>
        <v>0</v>
      </c>
      <c r="D99" s="63">
        <f t="shared" si="5"/>
        <v>0</v>
      </c>
      <c r="E99" s="63">
        <f t="shared" si="5"/>
        <v>0</v>
      </c>
      <c r="F99" s="63">
        <f t="shared" si="6"/>
        <v>0</v>
      </c>
      <c r="G99" s="64">
        <f t="shared" si="7"/>
        <v>0</v>
      </c>
      <c r="H99" s="68"/>
      <c r="I99" s="69"/>
      <c r="J99" s="69"/>
      <c r="K99" s="69"/>
      <c r="L99" s="70"/>
    </row>
    <row r="100" spans="1:26" ht="15.75" customHeight="1" x14ac:dyDescent="0.3">
      <c r="A100" s="61"/>
      <c r="B100" s="82" t="s">
        <v>73</v>
      </c>
      <c r="C100" s="63">
        <f t="shared" si="5"/>
        <v>0</v>
      </c>
      <c r="D100" s="63">
        <f t="shared" si="5"/>
        <v>0</v>
      </c>
      <c r="E100" s="63">
        <f t="shared" si="5"/>
        <v>0</v>
      </c>
      <c r="F100" s="63">
        <f t="shared" si="6"/>
        <v>0</v>
      </c>
      <c r="G100" s="64">
        <f t="shared" si="7"/>
        <v>0</v>
      </c>
      <c r="H100" s="68"/>
      <c r="I100" s="69"/>
      <c r="J100" s="69"/>
      <c r="K100" s="69"/>
      <c r="L100" s="70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 x14ac:dyDescent="0.3">
      <c r="A101" s="61"/>
      <c r="B101" s="82" t="s">
        <v>74</v>
      </c>
      <c r="C101" s="63">
        <f t="shared" si="5"/>
        <v>0</v>
      </c>
      <c r="D101" s="63">
        <f t="shared" si="5"/>
        <v>0</v>
      </c>
      <c r="E101" s="63">
        <f t="shared" si="5"/>
        <v>0</v>
      </c>
      <c r="F101" s="63">
        <f t="shared" si="6"/>
        <v>0</v>
      </c>
      <c r="G101" s="64">
        <f t="shared" si="7"/>
        <v>0</v>
      </c>
      <c r="H101" s="68"/>
      <c r="I101" s="69"/>
      <c r="J101" s="69"/>
      <c r="K101" s="69"/>
      <c r="L101" s="70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 x14ac:dyDescent="0.3">
      <c r="A102" s="61"/>
      <c r="B102" s="82" t="s">
        <v>75</v>
      </c>
      <c r="C102" s="63">
        <f t="shared" si="5"/>
        <v>0</v>
      </c>
      <c r="D102" s="63">
        <f t="shared" si="5"/>
        <v>0</v>
      </c>
      <c r="E102" s="63">
        <f t="shared" si="5"/>
        <v>0</v>
      </c>
      <c r="F102" s="63">
        <f t="shared" si="6"/>
        <v>0</v>
      </c>
      <c r="G102" s="64">
        <f t="shared" si="7"/>
        <v>0</v>
      </c>
      <c r="H102" s="68"/>
      <c r="I102" s="69"/>
      <c r="J102" s="69"/>
      <c r="K102" s="69"/>
      <c r="L102" s="70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 x14ac:dyDescent="0.3">
      <c r="A103" s="61"/>
      <c r="B103" s="82" t="s">
        <v>76</v>
      </c>
      <c r="C103" s="63">
        <f t="shared" si="5"/>
        <v>0</v>
      </c>
      <c r="D103" s="63">
        <f t="shared" si="5"/>
        <v>0</v>
      </c>
      <c r="E103" s="63">
        <f t="shared" si="5"/>
        <v>0</v>
      </c>
      <c r="F103" s="63">
        <f t="shared" si="6"/>
        <v>0</v>
      </c>
      <c r="G103" s="64">
        <f t="shared" si="7"/>
        <v>0</v>
      </c>
      <c r="H103" s="68"/>
      <c r="I103" s="69"/>
      <c r="J103" s="69"/>
      <c r="K103" s="69"/>
      <c r="L103" s="70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 x14ac:dyDescent="0.3">
      <c r="A104" s="61"/>
      <c r="B104" s="82" t="s">
        <v>77</v>
      </c>
      <c r="C104" s="63">
        <f t="shared" si="5"/>
        <v>0</v>
      </c>
      <c r="D104" s="63">
        <f t="shared" si="5"/>
        <v>0</v>
      </c>
      <c r="E104" s="63">
        <f t="shared" si="5"/>
        <v>0</v>
      </c>
      <c r="F104" s="63">
        <f t="shared" si="6"/>
        <v>0</v>
      </c>
      <c r="G104" s="64">
        <f t="shared" si="7"/>
        <v>0</v>
      </c>
      <c r="H104" s="68"/>
      <c r="I104" s="69"/>
      <c r="J104" s="69"/>
      <c r="K104" s="69"/>
      <c r="L104" s="70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 x14ac:dyDescent="0.3">
      <c r="A105" s="61"/>
      <c r="B105" s="82" t="s">
        <v>78</v>
      </c>
      <c r="C105" s="63">
        <f t="shared" si="5"/>
        <v>0</v>
      </c>
      <c r="D105" s="63">
        <f t="shared" si="5"/>
        <v>0</v>
      </c>
      <c r="E105" s="63">
        <f t="shared" si="5"/>
        <v>0</v>
      </c>
      <c r="F105" s="63">
        <f t="shared" si="6"/>
        <v>0</v>
      </c>
      <c r="G105" s="64">
        <f t="shared" si="7"/>
        <v>0</v>
      </c>
      <c r="H105" s="68"/>
      <c r="I105" s="69"/>
      <c r="J105" s="69"/>
      <c r="K105" s="69"/>
      <c r="L105" s="70"/>
    </row>
    <row r="106" spans="1:26" ht="15.05" customHeight="1" x14ac:dyDescent="0.3">
      <c r="A106" s="61"/>
      <c r="B106" s="82" t="s">
        <v>79</v>
      </c>
      <c r="C106" s="63">
        <f t="shared" si="5"/>
        <v>0</v>
      </c>
      <c r="D106" s="63">
        <f t="shared" si="5"/>
        <v>0</v>
      </c>
      <c r="E106" s="63">
        <f t="shared" si="5"/>
        <v>0</v>
      </c>
      <c r="F106" s="63">
        <f t="shared" si="6"/>
        <v>0</v>
      </c>
      <c r="G106" s="64">
        <f t="shared" si="7"/>
        <v>0</v>
      </c>
      <c r="H106" s="68"/>
      <c r="I106" s="69"/>
      <c r="J106" s="69"/>
      <c r="K106" s="69"/>
      <c r="L106" s="70"/>
    </row>
    <row r="107" spans="1:26" ht="15.75" customHeight="1" x14ac:dyDescent="0.3">
      <c r="A107" s="61"/>
      <c r="B107" s="82" t="s">
        <v>80</v>
      </c>
      <c r="C107" s="63">
        <f t="shared" si="5"/>
        <v>0</v>
      </c>
      <c r="D107" s="63">
        <f t="shared" si="5"/>
        <v>0</v>
      </c>
      <c r="E107" s="63">
        <f t="shared" si="5"/>
        <v>0</v>
      </c>
      <c r="F107" s="63">
        <f t="shared" si="6"/>
        <v>0</v>
      </c>
      <c r="G107" s="64">
        <f t="shared" si="7"/>
        <v>0</v>
      </c>
      <c r="H107" s="68"/>
      <c r="I107" s="69"/>
      <c r="J107" s="69"/>
      <c r="K107" s="69"/>
      <c r="L107" s="70"/>
    </row>
    <row r="108" spans="1:26" ht="15.75" customHeight="1" x14ac:dyDescent="0.3">
      <c r="A108" s="61"/>
      <c r="B108" s="82" t="s">
        <v>81</v>
      </c>
      <c r="C108" s="63">
        <f t="shared" si="5"/>
        <v>0</v>
      </c>
      <c r="D108" s="63">
        <f t="shared" si="5"/>
        <v>0</v>
      </c>
      <c r="E108" s="63">
        <f t="shared" si="5"/>
        <v>0</v>
      </c>
      <c r="F108" s="63">
        <f t="shared" si="6"/>
        <v>0</v>
      </c>
      <c r="G108" s="64">
        <f t="shared" si="7"/>
        <v>0</v>
      </c>
      <c r="H108" s="68"/>
      <c r="I108" s="69"/>
      <c r="J108" s="69"/>
      <c r="K108" s="69"/>
      <c r="L108" s="70"/>
      <c r="M108" s="83">
        <f>G15+G87</f>
        <v>0</v>
      </c>
    </row>
    <row r="109" spans="1:26" ht="15.75" customHeight="1" x14ac:dyDescent="0.3">
      <c r="A109" s="73"/>
      <c r="B109" s="82" t="s">
        <v>82</v>
      </c>
      <c r="C109" s="63">
        <f t="shared" si="5"/>
        <v>0</v>
      </c>
      <c r="D109" s="63">
        <f t="shared" si="5"/>
        <v>0</v>
      </c>
      <c r="E109" s="63">
        <f t="shared" si="5"/>
        <v>0</v>
      </c>
      <c r="F109" s="63">
        <f t="shared" si="6"/>
        <v>0</v>
      </c>
      <c r="G109" s="64">
        <f t="shared" si="7"/>
        <v>0</v>
      </c>
      <c r="H109" s="68"/>
      <c r="I109" s="69"/>
      <c r="J109" s="69"/>
      <c r="K109" s="69"/>
      <c r="L109" s="70"/>
    </row>
    <row r="110" spans="1:26" ht="15.75" customHeight="1" x14ac:dyDescent="0.3">
      <c r="A110" s="75" t="s">
        <v>83</v>
      </c>
      <c r="B110" s="53"/>
      <c r="C110" s="76"/>
      <c r="D110" s="76"/>
      <c r="E110" s="76"/>
      <c r="F110" s="76"/>
      <c r="G110" s="84">
        <f>SUM(G105:G109)</f>
        <v>0</v>
      </c>
      <c r="H110" s="78"/>
      <c r="I110" s="79"/>
      <c r="J110" s="79"/>
      <c r="K110" s="79"/>
      <c r="L110" s="80"/>
    </row>
    <row r="111" spans="1:26" ht="15.75" customHeight="1" x14ac:dyDescent="0.3">
      <c r="E111" s="71"/>
      <c r="G111" s="85"/>
    </row>
    <row r="112" spans="1:26" ht="15.75" customHeight="1" x14ac:dyDescent="0.3">
      <c r="E112" s="71"/>
      <c r="G112" s="85"/>
    </row>
    <row r="113" spans="5:7" ht="15.75" customHeight="1" x14ac:dyDescent="0.3">
      <c r="E113" s="71"/>
      <c r="G113" s="85"/>
    </row>
    <row r="114" spans="5:7" ht="15.75" customHeight="1" x14ac:dyDescent="0.3">
      <c r="E114" s="71"/>
      <c r="G114" s="85"/>
    </row>
    <row r="115" spans="5:7" ht="15.75" customHeight="1" x14ac:dyDescent="0.3">
      <c r="E115" s="71"/>
      <c r="G115" s="85"/>
    </row>
    <row r="116" spans="5:7" ht="15.75" customHeight="1" x14ac:dyDescent="0.3">
      <c r="E116" s="71"/>
      <c r="G116" s="85"/>
    </row>
    <row r="117" spans="5:7" ht="15.75" customHeight="1" x14ac:dyDescent="0.3">
      <c r="E117" s="71"/>
      <c r="G117" s="85"/>
    </row>
    <row r="118" spans="5:7" ht="15.75" customHeight="1" x14ac:dyDescent="0.3">
      <c r="E118" s="71"/>
      <c r="G118" s="85"/>
    </row>
    <row r="119" spans="5:7" ht="15.75" customHeight="1" x14ac:dyDescent="0.3">
      <c r="E119" s="71"/>
      <c r="G119" s="85"/>
    </row>
    <row r="120" spans="5:7" ht="15.75" customHeight="1" x14ac:dyDescent="0.3">
      <c r="E120" s="71"/>
      <c r="G120" s="85"/>
    </row>
    <row r="121" spans="5:7" ht="15.75" customHeight="1" x14ac:dyDescent="0.3">
      <c r="E121" s="71"/>
      <c r="G121" s="85"/>
    </row>
    <row r="122" spans="5:7" ht="15.75" customHeight="1" x14ac:dyDescent="0.3">
      <c r="E122" s="71"/>
      <c r="G122" s="85"/>
    </row>
    <row r="123" spans="5:7" ht="15.75" customHeight="1" x14ac:dyDescent="0.3">
      <c r="E123" s="71"/>
      <c r="G123" s="85"/>
    </row>
    <row r="124" spans="5:7" ht="15.75" customHeight="1" x14ac:dyDescent="0.3">
      <c r="E124" s="71"/>
      <c r="G124" s="85"/>
    </row>
    <row r="125" spans="5:7" ht="15.75" customHeight="1" x14ac:dyDescent="0.3">
      <c r="E125" s="71"/>
      <c r="G125" s="85"/>
    </row>
    <row r="126" spans="5:7" ht="15.75" customHeight="1" x14ac:dyDescent="0.3">
      <c r="E126" s="71"/>
      <c r="G126" s="85"/>
    </row>
    <row r="127" spans="5:7" ht="15.75" customHeight="1" x14ac:dyDescent="0.3">
      <c r="E127" s="71"/>
      <c r="G127" s="85"/>
    </row>
    <row r="128" spans="5:7" ht="15.75" customHeight="1" x14ac:dyDescent="0.3">
      <c r="E128" s="71"/>
      <c r="G128" s="85"/>
    </row>
    <row r="129" spans="5:7" ht="15.75" customHeight="1" x14ac:dyDescent="0.3">
      <c r="E129" s="71"/>
      <c r="G129" s="85"/>
    </row>
    <row r="130" spans="5:7" ht="15.75" customHeight="1" x14ac:dyDescent="0.3">
      <c r="E130" s="71"/>
      <c r="G130" s="85"/>
    </row>
    <row r="131" spans="5:7" ht="15.75" customHeight="1" x14ac:dyDescent="0.3">
      <c r="E131" s="71"/>
      <c r="G131" s="85"/>
    </row>
    <row r="132" spans="5:7" ht="15.75" customHeight="1" x14ac:dyDescent="0.3">
      <c r="E132" s="71"/>
      <c r="G132" s="85"/>
    </row>
    <row r="133" spans="5:7" ht="15.75" customHeight="1" x14ac:dyDescent="0.3">
      <c r="E133" s="71"/>
      <c r="G133" s="85"/>
    </row>
    <row r="134" spans="5:7" ht="15.75" customHeight="1" x14ac:dyDescent="0.3">
      <c r="E134" s="71"/>
      <c r="G134" s="85"/>
    </row>
    <row r="135" spans="5:7" ht="15.75" customHeight="1" x14ac:dyDescent="0.3">
      <c r="E135" s="71"/>
      <c r="G135" s="85"/>
    </row>
    <row r="136" spans="5:7" ht="15.75" customHeight="1" x14ac:dyDescent="0.3">
      <c r="E136" s="71"/>
      <c r="G136" s="85"/>
    </row>
    <row r="137" spans="5:7" ht="15.75" customHeight="1" x14ac:dyDescent="0.3">
      <c r="E137" s="71"/>
      <c r="G137" s="85"/>
    </row>
    <row r="138" spans="5:7" ht="15.75" customHeight="1" x14ac:dyDescent="0.3">
      <c r="E138" s="71"/>
      <c r="G138" s="85"/>
    </row>
    <row r="139" spans="5:7" ht="15.75" customHeight="1" x14ac:dyDescent="0.3">
      <c r="E139" s="71"/>
      <c r="G139" s="85"/>
    </row>
    <row r="140" spans="5:7" ht="15.75" customHeight="1" x14ac:dyDescent="0.3">
      <c r="E140" s="71"/>
      <c r="G140" s="85"/>
    </row>
    <row r="141" spans="5:7" ht="15.75" customHeight="1" x14ac:dyDescent="0.3">
      <c r="E141" s="71"/>
      <c r="G141" s="85"/>
    </row>
    <row r="142" spans="5:7" ht="15.75" customHeight="1" x14ac:dyDescent="0.3">
      <c r="E142" s="71"/>
      <c r="G142" s="85"/>
    </row>
    <row r="143" spans="5:7" ht="15.75" customHeight="1" x14ac:dyDescent="0.3">
      <c r="E143" s="71"/>
      <c r="G143" s="85"/>
    </row>
    <row r="144" spans="5:7" ht="15.75" customHeight="1" x14ac:dyDescent="0.3">
      <c r="E144" s="71"/>
      <c r="G144" s="85"/>
    </row>
    <row r="145" spans="5:7" ht="15.75" customHeight="1" x14ac:dyDescent="0.3">
      <c r="E145" s="71"/>
      <c r="G145" s="85"/>
    </row>
    <row r="146" spans="5:7" ht="15.75" customHeight="1" x14ac:dyDescent="0.3">
      <c r="E146" s="71"/>
      <c r="G146" s="85"/>
    </row>
    <row r="147" spans="5:7" ht="15.75" customHeight="1" x14ac:dyDescent="0.3">
      <c r="E147" s="71"/>
      <c r="G147" s="85"/>
    </row>
    <row r="148" spans="5:7" ht="15.75" customHeight="1" x14ac:dyDescent="0.3">
      <c r="E148" s="71"/>
      <c r="G148" s="85"/>
    </row>
    <row r="149" spans="5:7" ht="15.75" customHeight="1" x14ac:dyDescent="0.3">
      <c r="E149" s="71"/>
      <c r="G149" s="85"/>
    </row>
    <row r="150" spans="5:7" ht="15.75" customHeight="1" x14ac:dyDescent="0.3">
      <c r="E150" s="71"/>
      <c r="G150" s="85"/>
    </row>
    <row r="151" spans="5:7" ht="15.75" customHeight="1" x14ac:dyDescent="0.3">
      <c r="E151" s="71"/>
      <c r="G151" s="85"/>
    </row>
    <row r="152" spans="5:7" ht="15.75" customHeight="1" x14ac:dyDescent="0.3">
      <c r="E152" s="71"/>
      <c r="G152" s="85"/>
    </row>
    <row r="153" spans="5:7" ht="15.75" customHeight="1" x14ac:dyDescent="0.3">
      <c r="E153" s="71"/>
      <c r="G153" s="85"/>
    </row>
    <row r="154" spans="5:7" ht="15.75" customHeight="1" x14ac:dyDescent="0.3">
      <c r="E154" s="71"/>
      <c r="G154" s="85"/>
    </row>
    <row r="155" spans="5:7" ht="15.75" customHeight="1" x14ac:dyDescent="0.3">
      <c r="E155" s="71"/>
      <c r="G155" s="85"/>
    </row>
    <row r="156" spans="5:7" ht="15.75" customHeight="1" x14ac:dyDescent="0.3">
      <c r="E156" s="71"/>
      <c r="G156" s="85"/>
    </row>
    <row r="157" spans="5:7" ht="15.75" customHeight="1" x14ac:dyDescent="0.3">
      <c r="E157" s="71"/>
      <c r="G157" s="85"/>
    </row>
    <row r="158" spans="5:7" ht="15.75" customHeight="1" x14ac:dyDescent="0.3">
      <c r="E158" s="71"/>
      <c r="G158" s="85"/>
    </row>
    <row r="159" spans="5:7" ht="15.75" customHeight="1" x14ac:dyDescent="0.3">
      <c r="E159" s="71"/>
      <c r="G159" s="85"/>
    </row>
    <row r="160" spans="5:7" ht="15.75" customHeight="1" x14ac:dyDescent="0.3">
      <c r="E160" s="71"/>
      <c r="G160" s="85"/>
    </row>
    <row r="161" spans="5:7" ht="15.75" customHeight="1" x14ac:dyDescent="0.3">
      <c r="E161" s="71"/>
      <c r="G161" s="85"/>
    </row>
    <row r="162" spans="5:7" ht="15.75" customHeight="1" x14ac:dyDescent="0.3">
      <c r="E162" s="71"/>
      <c r="G162" s="85"/>
    </row>
    <row r="163" spans="5:7" ht="15.75" customHeight="1" x14ac:dyDescent="0.3">
      <c r="E163" s="71"/>
      <c r="G163" s="85"/>
    </row>
    <row r="164" spans="5:7" ht="15.75" customHeight="1" x14ac:dyDescent="0.3">
      <c r="E164" s="71"/>
      <c r="G164" s="85"/>
    </row>
    <row r="165" spans="5:7" ht="15.75" customHeight="1" x14ac:dyDescent="0.3">
      <c r="E165" s="71"/>
      <c r="G165" s="85"/>
    </row>
    <row r="166" spans="5:7" ht="15.75" customHeight="1" x14ac:dyDescent="0.3">
      <c r="E166" s="71"/>
      <c r="G166" s="85"/>
    </row>
    <row r="167" spans="5:7" ht="15.75" customHeight="1" x14ac:dyDescent="0.3">
      <c r="E167" s="71"/>
      <c r="G167" s="85"/>
    </row>
    <row r="168" spans="5:7" ht="15.75" customHeight="1" x14ac:dyDescent="0.3">
      <c r="E168" s="71"/>
      <c r="G168" s="85"/>
    </row>
    <row r="169" spans="5:7" ht="15.75" customHeight="1" x14ac:dyDescent="0.3">
      <c r="E169" s="71"/>
      <c r="G169" s="85"/>
    </row>
    <row r="170" spans="5:7" ht="15.75" customHeight="1" x14ac:dyDescent="0.3">
      <c r="E170" s="71"/>
      <c r="G170" s="85"/>
    </row>
    <row r="171" spans="5:7" ht="15.75" customHeight="1" x14ac:dyDescent="0.3">
      <c r="E171" s="71"/>
      <c r="G171" s="85"/>
    </row>
    <row r="172" spans="5:7" ht="15.75" customHeight="1" x14ac:dyDescent="0.3">
      <c r="E172" s="71"/>
      <c r="G172" s="85"/>
    </row>
    <row r="173" spans="5:7" ht="15.75" customHeight="1" x14ac:dyDescent="0.3">
      <c r="E173" s="71"/>
      <c r="G173" s="85"/>
    </row>
    <row r="174" spans="5:7" ht="15.75" customHeight="1" x14ac:dyDescent="0.3">
      <c r="E174" s="71"/>
      <c r="G174" s="85"/>
    </row>
    <row r="175" spans="5:7" ht="15.75" customHeight="1" x14ac:dyDescent="0.3">
      <c r="E175" s="71"/>
      <c r="G175" s="85"/>
    </row>
    <row r="176" spans="5:7" ht="15.75" customHeight="1" x14ac:dyDescent="0.3">
      <c r="E176" s="71"/>
      <c r="G176" s="85"/>
    </row>
    <row r="177" spans="5:7" ht="15.75" customHeight="1" x14ac:dyDescent="0.3">
      <c r="E177" s="71"/>
      <c r="G177" s="85"/>
    </row>
    <row r="178" spans="5:7" ht="15.75" customHeight="1" x14ac:dyDescent="0.3">
      <c r="E178" s="71"/>
      <c r="G178" s="85"/>
    </row>
    <row r="179" spans="5:7" ht="15.75" customHeight="1" x14ac:dyDescent="0.3">
      <c r="E179" s="71"/>
      <c r="G179" s="85"/>
    </row>
    <row r="180" spans="5:7" ht="15.75" customHeight="1" x14ac:dyDescent="0.3">
      <c r="E180" s="71"/>
      <c r="G180" s="85"/>
    </row>
    <row r="181" spans="5:7" ht="15.75" customHeight="1" x14ac:dyDescent="0.3">
      <c r="E181" s="71"/>
      <c r="G181" s="85"/>
    </row>
    <row r="182" spans="5:7" ht="15.75" customHeight="1" x14ac:dyDescent="0.3">
      <c r="E182" s="71"/>
      <c r="G182" s="85"/>
    </row>
    <row r="183" spans="5:7" ht="15.75" customHeight="1" x14ac:dyDescent="0.3">
      <c r="E183" s="71"/>
      <c r="G183" s="85"/>
    </row>
    <row r="184" spans="5:7" ht="15.75" customHeight="1" x14ac:dyDescent="0.3">
      <c r="E184" s="71"/>
      <c r="G184" s="85"/>
    </row>
    <row r="185" spans="5:7" ht="15.75" customHeight="1" x14ac:dyDescent="0.3">
      <c r="E185" s="71"/>
      <c r="G185" s="85"/>
    </row>
    <row r="186" spans="5:7" ht="15.75" customHeight="1" x14ac:dyDescent="0.3">
      <c r="E186" s="71"/>
      <c r="G186" s="85"/>
    </row>
    <row r="187" spans="5:7" ht="15.75" customHeight="1" x14ac:dyDescent="0.3">
      <c r="E187" s="71"/>
      <c r="G187" s="85"/>
    </row>
    <row r="188" spans="5:7" ht="15.75" customHeight="1" x14ac:dyDescent="0.3">
      <c r="E188" s="71"/>
      <c r="G188" s="85"/>
    </row>
    <row r="189" spans="5:7" ht="15.75" customHeight="1" x14ac:dyDescent="0.3">
      <c r="E189" s="71"/>
      <c r="G189" s="85"/>
    </row>
    <row r="190" spans="5:7" ht="15.75" customHeight="1" x14ac:dyDescent="0.3">
      <c r="E190" s="71"/>
      <c r="G190" s="85"/>
    </row>
    <row r="191" spans="5:7" ht="15.75" customHeight="1" x14ac:dyDescent="0.3">
      <c r="E191" s="71"/>
      <c r="G191" s="85"/>
    </row>
    <row r="192" spans="5:7" ht="15.75" customHeight="1" x14ac:dyDescent="0.3">
      <c r="E192" s="71"/>
      <c r="G192" s="85"/>
    </row>
    <row r="193" spans="5:7" ht="15.75" customHeight="1" x14ac:dyDescent="0.3">
      <c r="E193" s="71"/>
      <c r="G193" s="85"/>
    </row>
    <row r="194" spans="5:7" ht="15.75" customHeight="1" x14ac:dyDescent="0.3">
      <c r="E194" s="71"/>
      <c r="G194" s="85"/>
    </row>
    <row r="195" spans="5:7" ht="15.75" customHeight="1" x14ac:dyDescent="0.3">
      <c r="E195" s="71"/>
      <c r="G195" s="85"/>
    </row>
    <row r="196" spans="5:7" ht="15.75" customHeight="1" x14ac:dyDescent="0.3">
      <c r="E196" s="71"/>
      <c r="G196" s="85"/>
    </row>
    <row r="197" spans="5:7" ht="15.75" customHeight="1" x14ac:dyDescent="0.3">
      <c r="E197" s="71"/>
      <c r="G197" s="85"/>
    </row>
    <row r="198" spans="5:7" ht="15.75" customHeight="1" x14ac:dyDescent="0.3">
      <c r="E198" s="71"/>
      <c r="G198" s="85"/>
    </row>
    <row r="199" spans="5:7" ht="15.75" customHeight="1" x14ac:dyDescent="0.3">
      <c r="E199" s="71"/>
      <c r="G199" s="85"/>
    </row>
    <row r="200" spans="5:7" ht="15.75" customHeight="1" x14ac:dyDescent="0.3">
      <c r="E200" s="71"/>
      <c r="G200" s="85"/>
    </row>
    <row r="201" spans="5:7" ht="15.75" customHeight="1" x14ac:dyDescent="0.3">
      <c r="E201" s="71"/>
      <c r="G201" s="85"/>
    </row>
    <row r="202" spans="5:7" ht="15.75" customHeight="1" x14ac:dyDescent="0.3">
      <c r="E202" s="71"/>
      <c r="G202" s="85"/>
    </row>
    <row r="203" spans="5:7" ht="15.75" customHeight="1" x14ac:dyDescent="0.3">
      <c r="E203" s="71"/>
      <c r="G203" s="85"/>
    </row>
    <row r="204" spans="5:7" ht="15.75" customHeight="1" x14ac:dyDescent="0.3">
      <c r="E204" s="71"/>
      <c r="G204" s="85"/>
    </row>
    <row r="205" spans="5:7" ht="15.75" customHeight="1" x14ac:dyDescent="0.3">
      <c r="E205" s="71"/>
      <c r="G205" s="85"/>
    </row>
    <row r="206" spans="5:7" ht="15.75" customHeight="1" x14ac:dyDescent="0.3">
      <c r="E206" s="71"/>
      <c r="G206" s="85"/>
    </row>
    <row r="207" spans="5:7" ht="15.75" customHeight="1" x14ac:dyDescent="0.3">
      <c r="E207" s="71"/>
      <c r="G207" s="85"/>
    </row>
    <row r="208" spans="5:7" ht="15.75" customHeight="1" x14ac:dyDescent="0.3">
      <c r="E208" s="71"/>
      <c r="G208" s="85"/>
    </row>
    <row r="209" spans="5:7" ht="15.75" customHeight="1" x14ac:dyDescent="0.3">
      <c r="E209" s="71"/>
      <c r="G209" s="85"/>
    </row>
    <row r="210" spans="5:7" ht="15.75" customHeight="1" x14ac:dyDescent="0.3">
      <c r="E210" s="71"/>
      <c r="G210" s="85"/>
    </row>
    <row r="211" spans="5:7" ht="15.75" customHeight="1" x14ac:dyDescent="0.3">
      <c r="E211" s="71"/>
      <c r="G211" s="85"/>
    </row>
    <row r="212" spans="5:7" ht="15.75" customHeight="1" x14ac:dyDescent="0.3">
      <c r="E212" s="71"/>
      <c r="G212" s="85"/>
    </row>
    <row r="213" spans="5:7" ht="15.75" customHeight="1" x14ac:dyDescent="0.3">
      <c r="E213" s="71"/>
      <c r="G213" s="85"/>
    </row>
    <row r="214" spans="5:7" ht="15.75" customHeight="1" x14ac:dyDescent="0.3">
      <c r="E214" s="71"/>
      <c r="G214" s="85"/>
    </row>
    <row r="215" spans="5:7" ht="15.75" customHeight="1" x14ac:dyDescent="0.3">
      <c r="E215" s="71"/>
      <c r="G215" s="85"/>
    </row>
    <row r="216" spans="5:7" ht="15.75" customHeight="1" x14ac:dyDescent="0.3">
      <c r="E216" s="71"/>
      <c r="G216" s="85"/>
    </row>
    <row r="217" spans="5:7" ht="15.75" customHeight="1" x14ac:dyDescent="0.3">
      <c r="E217" s="71"/>
      <c r="G217" s="85"/>
    </row>
    <row r="218" spans="5:7" ht="15.75" customHeight="1" x14ac:dyDescent="0.3">
      <c r="E218" s="71"/>
      <c r="G218" s="85"/>
    </row>
    <row r="219" spans="5:7" ht="15.75" customHeight="1" x14ac:dyDescent="0.3">
      <c r="E219" s="71"/>
      <c r="G219" s="85"/>
    </row>
    <row r="220" spans="5:7" ht="15.75" customHeight="1" x14ac:dyDescent="0.3">
      <c r="E220" s="71"/>
      <c r="G220" s="85"/>
    </row>
    <row r="221" spans="5:7" ht="15.75" customHeight="1" x14ac:dyDescent="0.3">
      <c r="E221" s="71"/>
      <c r="G221" s="85"/>
    </row>
    <row r="222" spans="5:7" ht="15.75" customHeight="1" x14ac:dyDescent="0.3">
      <c r="E222" s="71"/>
      <c r="G222" s="85"/>
    </row>
    <row r="223" spans="5:7" ht="15.75" customHeight="1" x14ac:dyDescent="0.3">
      <c r="E223" s="71"/>
      <c r="G223" s="85"/>
    </row>
    <row r="224" spans="5:7" ht="15.75" customHeight="1" x14ac:dyDescent="0.3">
      <c r="E224" s="71"/>
      <c r="G224" s="85"/>
    </row>
    <row r="225" spans="5:7" ht="15.75" customHeight="1" x14ac:dyDescent="0.3">
      <c r="E225" s="71"/>
      <c r="G225" s="85"/>
    </row>
    <row r="226" spans="5:7" ht="15.75" customHeight="1" x14ac:dyDescent="0.3">
      <c r="E226" s="71"/>
      <c r="G226" s="85"/>
    </row>
    <row r="227" spans="5:7" ht="15.75" customHeight="1" x14ac:dyDescent="0.3">
      <c r="E227" s="71"/>
      <c r="G227" s="85"/>
    </row>
    <row r="228" spans="5:7" ht="15.75" customHeight="1" x14ac:dyDescent="0.3">
      <c r="E228" s="71"/>
      <c r="G228" s="85"/>
    </row>
    <row r="229" spans="5:7" ht="15.75" customHeight="1" x14ac:dyDescent="0.3">
      <c r="E229" s="71"/>
      <c r="G229" s="85"/>
    </row>
    <row r="230" spans="5:7" ht="15.75" customHeight="1" x14ac:dyDescent="0.3">
      <c r="E230" s="71"/>
      <c r="G230" s="85"/>
    </row>
    <row r="231" spans="5:7" ht="15.75" customHeight="1" x14ac:dyDescent="0.3">
      <c r="E231" s="71"/>
      <c r="G231" s="85"/>
    </row>
    <row r="232" spans="5:7" ht="15.75" customHeight="1" x14ac:dyDescent="0.3">
      <c r="E232" s="71"/>
      <c r="G232" s="85"/>
    </row>
    <row r="233" spans="5:7" ht="15.75" customHeight="1" x14ac:dyDescent="0.3">
      <c r="E233" s="71"/>
      <c r="G233" s="85"/>
    </row>
    <row r="234" spans="5:7" ht="15.75" customHeight="1" x14ac:dyDescent="0.3">
      <c r="E234" s="71"/>
      <c r="G234" s="85"/>
    </row>
    <row r="235" spans="5:7" ht="15.75" customHeight="1" x14ac:dyDescent="0.3">
      <c r="E235" s="71"/>
      <c r="G235" s="85"/>
    </row>
    <row r="236" spans="5:7" ht="15.75" customHeight="1" x14ac:dyDescent="0.3">
      <c r="E236" s="71"/>
      <c r="G236" s="85"/>
    </row>
    <row r="237" spans="5:7" ht="15.75" customHeight="1" x14ac:dyDescent="0.3">
      <c r="E237" s="71"/>
      <c r="G237" s="85"/>
    </row>
    <row r="238" spans="5:7" ht="15.75" customHeight="1" x14ac:dyDescent="0.3">
      <c r="E238" s="71"/>
      <c r="G238" s="85"/>
    </row>
    <row r="239" spans="5:7" ht="15.75" customHeight="1" x14ac:dyDescent="0.3">
      <c r="E239" s="71"/>
      <c r="G239" s="85"/>
    </row>
    <row r="240" spans="5:7" ht="15.75" customHeight="1" x14ac:dyDescent="0.3">
      <c r="E240" s="71"/>
      <c r="G240" s="85"/>
    </row>
    <row r="241" spans="5:7" ht="15.75" customHeight="1" x14ac:dyDescent="0.3">
      <c r="E241" s="71"/>
      <c r="G241" s="85"/>
    </row>
    <row r="242" spans="5:7" ht="15.75" customHeight="1" x14ac:dyDescent="0.3">
      <c r="E242" s="71"/>
      <c r="G242" s="85"/>
    </row>
    <row r="243" spans="5:7" ht="15.75" customHeight="1" x14ac:dyDescent="0.3">
      <c r="E243" s="71"/>
      <c r="G243" s="85"/>
    </row>
    <row r="244" spans="5:7" ht="15.75" customHeight="1" x14ac:dyDescent="0.3">
      <c r="E244" s="71"/>
      <c r="G244" s="85"/>
    </row>
    <row r="245" spans="5:7" ht="15.75" customHeight="1" x14ac:dyDescent="0.3">
      <c r="E245" s="71"/>
      <c r="G245" s="85"/>
    </row>
    <row r="246" spans="5:7" ht="15.75" customHeight="1" x14ac:dyDescent="0.3">
      <c r="E246" s="71"/>
      <c r="G246" s="85"/>
    </row>
    <row r="247" spans="5:7" ht="15.75" customHeight="1" x14ac:dyDescent="0.3">
      <c r="E247" s="71"/>
      <c r="G247" s="85"/>
    </row>
    <row r="248" spans="5:7" ht="15.75" customHeight="1" x14ac:dyDescent="0.3">
      <c r="E248" s="71"/>
      <c r="G248" s="85"/>
    </row>
    <row r="249" spans="5:7" ht="15.75" customHeight="1" x14ac:dyDescent="0.3">
      <c r="E249" s="71"/>
      <c r="G249" s="85"/>
    </row>
    <row r="250" spans="5:7" ht="15.75" customHeight="1" x14ac:dyDescent="0.3">
      <c r="E250" s="71"/>
      <c r="G250" s="85"/>
    </row>
    <row r="251" spans="5:7" ht="15.75" customHeight="1" x14ac:dyDescent="0.3">
      <c r="E251" s="71"/>
      <c r="G251" s="85"/>
    </row>
    <row r="252" spans="5:7" ht="15.75" customHeight="1" x14ac:dyDescent="0.3">
      <c r="E252" s="71"/>
      <c r="G252" s="85"/>
    </row>
    <row r="253" spans="5:7" ht="15.75" customHeight="1" x14ac:dyDescent="0.3">
      <c r="E253" s="71"/>
      <c r="G253" s="85"/>
    </row>
    <row r="254" spans="5:7" ht="15.75" customHeight="1" x14ac:dyDescent="0.3">
      <c r="E254" s="71"/>
      <c r="G254" s="85"/>
    </row>
    <row r="255" spans="5:7" ht="15.75" customHeight="1" x14ac:dyDescent="0.3">
      <c r="E255" s="71"/>
      <c r="G255" s="85"/>
    </row>
    <row r="256" spans="5:7" ht="15.75" customHeight="1" x14ac:dyDescent="0.3">
      <c r="E256" s="71"/>
      <c r="G256" s="85"/>
    </row>
    <row r="257" spans="5:7" ht="15.75" customHeight="1" x14ac:dyDescent="0.3">
      <c r="E257" s="71"/>
      <c r="G257" s="85"/>
    </row>
    <row r="258" spans="5:7" ht="15.75" customHeight="1" x14ac:dyDescent="0.3">
      <c r="E258" s="71"/>
      <c r="G258" s="85"/>
    </row>
    <row r="259" spans="5:7" ht="15.75" customHeight="1" x14ac:dyDescent="0.3">
      <c r="E259" s="71"/>
      <c r="G259" s="85"/>
    </row>
    <row r="260" spans="5:7" ht="15.75" customHeight="1" x14ac:dyDescent="0.3">
      <c r="E260" s="71"/>
      <c r="G260" s="85"/>
    </row>
    <row r="261" spans="5:7" ht="15.75" customHeight="1" x14ac:dyDescent="0.3">
      <c r="E261" s="71"/>
      <c r="G261" s="85"/>
    </row>
    <row r="262" spans="5:7" ht="15.75" customHeight="1" x14ac:dyDescent="0.3">
      <c r="E262" s="71"/>
      <c r="G262" s="85"/>
    </row>
    <row r="263" spans="5:7" ht="15.75" customHeight="1" x14ac:dyDescent="0.3">
      <c r="E263" s="71"/>
      <c r="G263" s="85"/>
    </row>
    <row r="264" spans="5:7" ht="15.75" customHeight="1" x14ac:dyDescent="0.3">
      <c r="E264" s="71"/>
      <c r="G264" s="85"/>
    </row>
    <row r="265" spans="5:7" ht="15.75" customHeight="1" x14ac:dyDescent="0.3">
      <c r="E265" s="71"/>
      <c r="G265" s="85"/>
    </row>
    <row r="266" spans="5:7" ht="15.75" customHeight="1" x14ac:dyDescent="0.3">
      <c r="E266" s="71"/>
      <c r="G266" s="85"/>
    </row>
    <row r="267" spans="5:7" ht="15.75" customHeight="1" x14ac:dyDescent="0.3">
      <c r="E267" s="71"/>
      <c r="G267" s="85"/>
    </row>
    <row r="268" spans="5:7" ht="15.75" customHeight="1" x14ac:dyDescent="0.3">
      <c r="E268" s="71"/>
      <c r="G268" s="85"/>
    </row>
    <row r="269" spans="5:7" ht="15.75" customHeight="1" x14ac:dyDescent="0.3">
      <c r="E269" s="71"/>
      <c r="G269" s="85"/>
    </row>
    <row r="270" spans="5:7" ht="15.75" customHeight="1" x14ac:dyDescent="0.3">
      <c r="E270" s="71"/>
      <c r="G270" s="85"/>
    </row>
    <row r="271" spans="5:7" ht="15.75" customHeight="1" x14ac:dyDescent="0.3">
      <c r="E271" s="71"/>
      <c r="G271" s="85"/>
    </row>
    <row r="272" spans="5:7" ht="15.75" customHeight="1" x14ac:dyDescent="0.3">
      <c r="E272" s="71"/>
      <c r="G272" s="85"/>
    </row>
    <row r="273" spans="5:7" ht="15.75" customHeight="1" x14ac:dyDescent="0.3">
      <c r="E273" s="71"/>
      <c r="G273" s="85"/>
    </row>
    <row r="274" spans="5:7" ht="15.75" customHeight="1" x14ac:dyDescent="0.3">
      <c r="E274" s="71"/>
      <c r="G274" s="85"/>
    </row>
    <row r="275" spans="5:7" ht="15.75" customHeight="1" x14ac:dyDescent="0.3">
      <c r="E275" s="71"/>
      <c r="G275" s="85"/>
    </row>
    <row r="276" spans="5:7" ht="15.75" customHeight="1" x14ac:dyDescent="0.3">
      <c r="E276" s="71"/>
      <c r="G276" s="85"/>
    </row>
    <row r="277" spans="5:7" ht="15.75" customHeight="1" x14ac:dyDescent="0.3">
      <c r="E277" s="71"/>
      <c r="G277" s="85"/>
    </row>
    <row r="278" spans="5:7" ht="15.75" customHeight="1" x14ac:dyDescent="0.3">
      <c r="E278" s="71"/>
      <c r="G278" s="85"/>
    </row>
    <row r="279" spans="5:7" ht="15.75" customHeight="1" x14ac:dyDescent="0.3">
      <c r="E279" s="71"/>
      <c r="G279" s="85"/>
    </row>
    <row r="280" spans="5:7" ht="15.75" customHeight="1" x14ac:dyDescent="0.3">
      <c r="E280" s="71"/>
      <c r="G280" s="85"/>
    </row>
    <row r="281" spans="5:7" ht="15.75" customHeight="1" x14ac:dyDescent="0.3">
      <c r="E281" s="71"/>
      <c r="G281" s="85"/>
    </row>
    <row r="282" spans="5:7" ht="15.75" customHeight="1" x14ac:dyDescent="0.3">
      <c r="E282" s="71"/>
      <c r="G282" s="85"/>
    </row>
    <row r="283" spans="5:7" ht="15.75" customHeight="1" x14ac:dyDescent="0.3">
      <c r="E283" s="71"/>
      <c r="G283" s="85"/>
    </row>
    <row r="284" spans="5:7" ht="15.75" customHeight="1" x14ac:dyDescent="0.3">
      <c r="E284" s="71"/>
      <c r="G284" s="85"/>
    </row>
    <row r="285" spans="5:7" ht="15.75" customHeight="1" x14ac:dyDescent="0.3">
      <c r="E285" s="71"/>
      <c r="G285" s="85"/>
    </row>
    <row r="286" spans="5:7" ht="15.75" customHeight="1" x14ac:dyDescent="0.3">
      <c r="E286" s="71"/>
      <c r="G286" s="85"/>
    </row>
    <row r="287" spans="5:7" ht="15.75" customHeight="1" x14ac:dyDescent="0.3">
      <c r="E287" s="71"/>
      <c r="G287" s="85"/>
    </row>
    <row r="288" spans="5:7" ht="15.75" customHeight="1" x14ac:dyDescent="0.3">
      <c r="E288" s="71"/>
      <c r="G288" s="85"/>
    </row>
    <row r="289" spans="5:7" ht="15.75" customHeight="1" x14ac:dyDescent="0.3">
      <c r="E289" s="71"/>
      <c r="G289" s="85"/>
    </row>
    <row r="290" spans="5:7" ht="15.75" customHeight="1" x14ac:dyDescent="0.3">
      <c r="E290" s="71"/>
      <c r="G290" s="85"/>
    </row>
    <row r="291" spans="5:7" ht="15.75" customHeight="1" x14ac:dyDescent="0.3">
      <c r="E291" s="71"/>
      <c r="G291" s="85"/>
    </row>
    <row r="292" spans="5:7" ht="15.75" customHeight="1" x14ac:dyDescent="0.3">
      <c r="E292" s="71"/>
      <c r="G292" s="85"/>
    </row>
    <row r="293" spans="5:7" ht="15.75" customHeight="1" x14ac:dyDescent="0.3">
      <c r="E293" s="71"/>
      <c r="G293" s="85"/>
    </row>
    <row r="294" spans="5:7" ht="15.75" customHeight="1" x14ac:dyDescent="0.3">
      <c r="E294" s="71"/>
      <c r="G294" s="85"/>
    </row>
    <row r="295" spans="5:7" ht="15.75" customHeight="1" x14ac:dyDescent="0.3">
      <c r="E295" s="71"/>
      <c r="G295" s="85"/>
    </row>
    <row r="296" spans="5:7" ht="15.75" customHeight="1" x14ac:dyDescent="0.3">
      <c r="E296" s="71"/>
      <c r="G296" s="85"/>
    </row>
    <row r="297" spans="5:7" ht="15.75" customHeight="1" x14ac:dyDescent="0.3">
      <c r="E297" s="71"/>
      <c r="G297" s="85"/>
    </row>
    <row r="298" spans="5:7" ht="15.75" customHeight="1" x14ac:dyDescent="0.3">
      <c r="E298" s="71"/>
      <c r="G298" s="85"/>
    </row>
    <row r="299" spans="5:7" ht="15.75" customHeight="1" x14ac:dyDescent="0.3">
      <c r="E299" s="71"/>
      <c r="G299" s="85"/>
    </row>
    <row r="300" spans="5:7" ht="15.75" customHeight="1" x14ac:dyDescent="0.3">
      <c r="E300" s="71"/>
      <c r="G300" s="85"/>
    </row>
    <row r="301" spans="5:7" ht="15.75" customHeight="1" x14ac:dyDescent="0.3">
      <c r="E301" s="71"/>
      <c r="G301" s="85"/>
    </row>
    <row r="302" spans="5:7" ht="15.75" customHeight="1" x14ac:dyDescent="0.3">
      <c r="E302" s="71"/>
      <c r="G302" s="85"/>
    </row>
    <row r="303" spans="5:7" ht="15.75" customHeight="1" x14ac:dyDescent="0.3">
      <c r="E303" s="71"/>
      <c r="G303" s="85"/>
    </row>
    <row r="304" spans="5:7" ht="15.75" customHeight="1" x14ac:dyDescent="0.3">
      <c r="E304" s="71"/>
      <c r="G304" s="85"/>
    </row>
    <row r="305" spans="5:7" ht="15.75" customHeight="1" x14ac:dyDescent="0.3">
      <c r="E305" s="71"/>
      <c r="G305" s="85"/>
    </row>
    <row r="306" spans="5:7" ht="15.75" customHeight="1" x14ac:dyDescent="0.3">
      <c r="E306" s="71"/>
      <c r="G306" s="85"/>
    </row>
    <row r="307" spans="5:7" ht="15.75" customHeight="1" x14ac:dyDescent="0.3">
      <c r="E307" s="71"/>
      <c r="G307" s="85"/>
    </row>
    <row r="308" spans="5:7" ht="15.75" customHeight="1" x14ac:dyDescent="0.3">
      <c r="E308" s="71"/>
      <c r="G308" s="85"/>
    </row>
    <row r="309" spans="5:7" ht="15.75" customHeight="1" x14ac:dyDescent="0.3">
      <c r="E309" s="71"/>
      <c r="G309" s="85"/>
    </row>
    <row r="310" spans="5:7" ht="15.75" customHeight="1" x14ac:dyDescent="0.3">
      <c r="E310" s="71"/>
      <c r="G310" s="85"/>
    </row>
    <row r="311" spans="5:7" ht="15.75" customHeight="1" x14ac:dyDescent="0.3"/>
    <row r="312" spans="5:7" ht="15.75" customHeight="1" x14ac:dyDescent="0.3"/>
    <row r="313" spans="5:7" ht="15.75" customHeight="1" x14ac:dyDescent="0.3"/>
    <row r="314" spans="5:7" ht="15.75" customHeight="1" x14ac:dyDescent="0.3"/>
    <row r="315" spans="5:7" ht="15.75" customHeight="1" x14ac:dyDescent="0.3"/>
    <row r="316" spans="5:7" ht="15.75" customHeight="1" x14ac:dyDescent="0.3"/>
    <row r="317" spans="5:7" ht="15.75" customHeight="1" x14ac:dyDescent="0.3"/>
    <row r="318" spans="5:7" ht="15.75" customHeight="1" x14ac:dyDescent="0.3"/>
    <row r="319" spans="5:7" ht="15.75" customHeight="1" x14ac:dyDescent="0.3"/>
    <row r="320" spans="5:7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A93:A109"/>
    <mergeCell ref="H93:L110"/>
    <mergeCell ref="A110:B110"/>
    <mergeCell ref="A57:A73"/>
    <mergeCell ref="H57:L74"/>
    <mergeCell ref="A74:B74"/>
    <mergeCell ref="A75:A91"/>
    <mergeCell ref="H75:L92"/>
    <mergeCell ref="A92:B92"/>
    <mergeCell ref="A21:A37"/>
    <mergeCell ref="H21:L38"/>
    <mergeCell ref="A38:B38"/>
    <mergeCell ref="A39:A55"/>
    <mergeCell ref="H39:L56"/>
    <mergeCell ref="A56:B56"/>
    <mergeCell ref="A1:L1"/>
    <mergeCell ref="B2:L2"/>
    <mergeCell ref="A3:A19"/>
    <mergeCell ref="H3:L3"/>
    <mergeCell ref="H4:L20"/>
    <mergeCell ref="A20:B20"/>
  </mergeCells>
  <pageMargins left="0.7" right="0.7" top="0.75" bottom="0.75" header="0" footer="0"/>
  <pageSetup paperSize="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E16" sqref="E16"/>
    </sheetView>
  </sheetViews>
  <sheetFormatPr baseColWidth="10" defaultRowHeight="14" x14ac:dyDescent="0.3"/>
  <cols>
    <col min="2" max="2" width="35" bestFit="1" customWidth="1"/>
  </cols>
  <sheetData>
    <row r="1" spans="1:5" ht="16.149999999999999" thickBot="1" x14ac:dyDescent="0.35">
      <c r="A1" s="86" t="s">
        <v>87</v>
      </c>
      <c r="B1" s="87"/>
      <c r="C1" s="87"/>
      <c r="D1" s="87"/>
      <c r="E1" s="88"/>
    </row>
    <row r="2" spans="1:5" ht="14.55" thickBot="1" x14ac:dyDescent="0.35">
      <c r="A2" s="89" t="s">
        <v>59</v>
      </c>
      <c r="B2" s="90">
        <v>45809</v>
      </c>
      <c r="C2" s="90"/>
      <c r="D2" s="90"/>
      <c r="E2" s="91"/>
    </row>
    <row r="3" spans="1:5" ht="26.5" customHeight="1" x14ac:dyDescent="0.3">
      <c r="A3" s="92" t="s">
        <v>88</v>
      </c>
      <c r="B3" s="93" t="s">
        <v>61</v>
      </c>
      <c r="C3" s="94" t="s">
        <v>89</v>
      </c>
      <c r="D3" s="94" t="s">
        <v>90</v>
      </c>
      <c r="E3" s="95" t="s">
        <v>91</v>
      </c>
    </row>
    <row r="4" spans="1:5" x14ac:dyDescent="0.3">
      <c r="A4" s="96"/>
      <c r="B4" s="97" t="s">
        <v>92</v>
      </c>
      <c r="C4" s="98"/>
      <c r="D4" s="98"/>
      <c r="E4" s="99">
        <f>SUM(C4:D4)</f>
        <v>0</v>
      </c>
    </row>
    <row r="5" spans="1:5" x14ac:dyDescent="0.3">
      <c r="A5" s="96"/>
      <c r="B5" s="97" t="s">
        <v>93</v>
      </c>
      <c r="C5" s="98"/>
      <c r="D5" s="98"/>
      <c r="E5" s="99">
        <f t="shared" ref="E5:E18" si="0">SUM(C5:D5)</f>
        <v>0</v>
      </c>
    </row>
    <row r="6" spans="1:5" x14ac:dyDescent="0.3">
      <c r="A6" s="96"/>
      <c r="B6" s="97" t="s">
        <v>94</v>
      </c>
      <c r="C6" s="98"/>
      <c r="D6" s="98"/>
      <c r="E6" s="99">
        <f t="shared" si="0"/>
        <v>0</v>
      </c>
    </row>
    <row r="7" spans="1:5" x14ac:dyDescent="0.3">
      <c r="A7" s="96"/>
      <c r="B7" s="97" t="s">
        <v>95</v>
      </c>
      <c r="C7" s="98"/>
      <c r="D7" s="98"/>
      <c r="E7" s="99">
        <f t="shared" si="0"/>
        <v>0</v>
      </c>
    </row>
    <row r="8" spans="1:5" x14ac:dyDescent="0.3">
      <c r="A8" s="96"/>
      <c r="B8" s="97" t="s">
        <v>96</v>
      </c>
      <c r="C8" s="98"/>
      <c r="D8" s="98"/>
      <c r="E8" s="99">
        <f t="shared" si="0"/>
        <v>0</v>
      </c>
    </row>
    <row r="9" spans="1:5" x14ac:dyDescent="0.3">
      <c r="A9" s="96"/>
      <c r="B9" s="97" t="s">
        <v>97</v>
      </c>
      <c r="C9" s="98"/>
      <c r="D9" s="98"/>
      <c r="E9" s="99">
        <f t="shared" si="0"/>
        <v>0</v>
      </c>
    </row>
    <row r="10" spans="1:5" x14ac:dyDescent="0.3">
      <c r="A10" s="96"/>
      <c r="B10" s="97" t="s">
        <v>98</v>
      </c>
      <c r="C10" s="98"/>
      <c r="D10" s="98"/>
      <c r="E10" s="99">
        <f t="shared" si="0"/>
        <v>0</v>
      </c>
    </row>
    <row r="11" spans="1:5" x14ac:dyDescent="0.3">
      <c r="A11" s="96"/>
      <c r="B11" s="97" t="s">
        <v>99</v>
      </c>
      <c r="C11" s="98"/>
      <c r="D11" s="98"/>
      <c r="E11" s="99">
        <f t="shared" si="0"/>
        <v>0</v>
      </c>
    </row>
    <row r="12" spans="1:5" x14ac:dyDescent="0.3">
      <c r="A12" s="96"/>
      <c r="B12" s="97" t="s">
        <v>100</v>
      </c>
      <c r="C12" s="98"/>
      <c r="D12" s="98"/>
      <c r="E12" s="99">
        <f t="shared" si="0"/>
        <v>0</v>
      </c>
    </row>
    <row r="13" spans="1:5" x14ac:dyDescent="0.3">
      <c r="A13" s="96"/>
      <c r="B13" s="97" t="s">
        <v>101</v>
      </c>
      <c r="C13" s="98"/>
      <c r="D13" s="98"/>
      <c r="E13" s="99">
        <f t="shared" si="0"/>
        <v>0</v>
      </c>
    </row>
    <row r="14" spans="1:5" x14ac:dyDescent="0.3">
      <c r="A14" s="96"/>
      <c r="B14" s="97" t="s">
        <v>102</v>
      </c>
      <c r="C14" s="98"/>
      <c r="D14" s="98"/>
      <c r="E14" s="99">
        <f t="shared" si="0"/>
        <v>0</v>
      </c>
    </row>
    <row r="15" spans="1:5" x14ac:dyDescent="0.3">
      <c r="A15" s="96"/>
      <c r="B15" s="97" t="s">
        <v>103</v>
      </c>
      <c r="C15" s="98"/>
      <c r="D15" s="98"/>
      <c r="E15" s="99">
        <f t="shared" si="0"/>
        <v>0</v>
      </c>
    </row>
    <row r="16" spans="1:5" x14ac:dyDescent="0.3">
      <c r="A16" s="96"/>
      <c r="B16" s="97" t="s">
        <v>104</v>
      </c>
      <c r="C16" s="98"/>
      <c r="D16" s="98"/>
      <c r="E16" s="99">
        <f t="shared" si="0"/>
        <v>0</v>
      </c>
    </row>
    <row r="17" spans="1:9" x14ac:dyDescent="0.3">
      <c r="A17" s="96"/>
      <c r="B17" s="97" t="s">
        <v>105</v>
      </c>
      <c r="C17" s="98"/>
      <c r="D17" s="98"/>
      <c r="E17" s="99">
        <f t="shared" si="0"/>
        <v>0</v>
      </c>
    </row>
    <row r="18" spans="1:9" ht="14.55" thickBot="1" x14ac:dyDescent="0.35">
      <c r="A18" s="100"/>
      <c r="B18" s="101" t="s">
        <v>12</v>
      </c>
      <c r="C18" s="102"/>
      <c r="D18" s="102"/>
      <c r="E18" s="99">
        <f t="shared" si="0"/>
        <v>0</v>
      </c>
    </row>
    <row r="19" spans="1:9" ht="26.5" customHeight="1" x14ac:dyDescent="0.3">
      <c r="A19" s="103" t="s">
        <v>106</v>
      </c>
      <c r="B19" s="104" t="s">
        <v>61</v>
      </c>
      <c r="C19" s="105" t="s">
        <v>89</v>
      </c>
      <c r="D19" s="105" t="s">
        <v>90</v>
      </c>
      <c r="E19" s="106" t="s">
        <v>91</v>
      </c>
      <c r="I19" s="107"/>
    </row>
    <row r="20" spans="1:9" x14ac:dyDescent="0.3">
      <c r="A20" s="96"/>
      <c r="B20" s="97" t="s">
        <v>92</v>
      </c>
      <c r="C20" s="98"/>
      <c r="D20" s="98"/>
      <c r="E20" s="108">
        <f>SUM(C20:D20)</f>
        <v>0</v>
      </c>
    </row>
    <row r="21" spans="1:9" x14ac:dyDescent="0.3">
      <c r="A21" s="96"/>
      <c r="B21" s="97" t="s">
        <v>93</v>
      </c>
      <c r="C21" s="98"/>
      <c r="D21" s="98"/>
      <c r="E21" s="108">
        <f t="shared" ref="E21:E34" si="1">SUM(C21:D21)</f>
        <v>0</v>
      </c>
    </row>
    <row r="22" spans="1:9" x14ac:dyDescent="0.3">
      <c r="A22" s="96"/>
      <c r="B22" s="97" t="s">
        <v>94</v>
      </c>
      <c r="C22" s="98"/>
      <c r="D22" s="98"/>
      <c r="E22" s="108">
        <f t="shared" si="1"/>
        <v>0</v>
      </c>
    </row>
    <row r="23" spans="1:9" x14ac:dyDescent="0.3">
      <c r="A23" s="96"/>
      <c r="B23" s="97" t="s">
        <v>95</v>
      </c>
      <c r="C23" s="98"/>
      <c r="D23" s="98"/>
      <c r="E23" s="108">
        <f t="shared" si="1"/>
        <v>0</v>
      </c>
    </row>
    <row r="24" spans="1:9" x14ac:dyDescent="0.3">
      <c r="A24" s="96"/>
      <c r="B24" s="97" t="s">
        <v>96</v>
      </c>
      <c r="C24" s="98"/>
      <c r="D24" s="98"/>
      <c r="E24" s="108">
        <f t="shared" si="1"/>
        <v>0</v>
      </c>
    </row>
    <row r="25" spans="1:9" x14ac:dyDescent="0.3">
      <c r="A25" s="96"/>
      <c r="B25" s="97" t="s">
        <v>97</v>
      </c>
      <c r="C25" s="98"/>
      <c r="D25" s="98"/>
      <c r="E25" s="108">
        <f t="shared" si="1"/>
        <v>0</v>
      </c>
    </row>
    <row r="26" spans="1:9" x14ac:dyDescent="0.3">
      <c r="A26" s="96"/>
      <c r="B26" s="97" t="s">
        <v>98</v>
      </c>
      <c r="C26" s="98"/>
      <c r="D26" s="98"/>
      <c r="E26" s="108">
        <f t="shared" si="1"/>
        <v>0</v>
      </c>
    </row>
    <row r="27" spans="1:9" x14ac:dyDescent="0.3">
      <c r="A27" s="96"/>
      <c r="B27" s="97" t="s">
        <v>99</v>
      </c>
      <c r="C27" s="98"/>
      <c r="D27" s="98"/>
      <c r="E27" s="108">
        <f t="shared" si="1"/>
        <v>0</v>
      </c>
    </row>
    <row r="28" spans="1:9" x14ac:dyDescent="0.3">
      <c r="A28" s="96"/>
      <c r="B28" s="97" t="s">
        <v>100</v>
      </c>
      <c r="C28" s="98"/>
      <c r="D28" s="98"/>
      <c r="E28" s="108">
        <f t="shared" si="1"/>
        <v>0</v>
      </c>
    </row>
    <row r="29" spans="1:9" x14ac:dyDescent="0.3">
      <c r="A29" s="96"/>
      <c r="B29" s="97" t="s">
        <v>101</v>
      </c>
      <c r="C29" s="98"/>
      <c r="D29" s="98"/>
      <c r="E29" s="108">
        <f t="shared" si="1"/>
        <v>0</v>
      </c>
    </row>
    <row r="30" spans="1:9" x14ac:dyDescent="0.3">
      <c r="A30" s="96"/>
      <c r="B30" s="97" t="s">
        <v>102</v>
      </c>
      <c r="C30" s="98"/>
      <c r="D30" s="98"/>
      <c r="E30" s="108">
        <f t="shared" si="1"/>
        <v>0</v>
      </c>
    </row>
    <row r="31" spans="1:9" x14ac:dyDescent="0.3">
      <c r="A31" s="96"/>
      <c r="B31" s="97" t="s">
        <v>103</v>
      </c>
      <c r="C31" s="98"/>
      <c r="D31" s="98"/>
      <c r="E31" s="108">
        <f t="shared" si="1"/>
        <v>0</v>
      </c>
    </row>
    <row r="32" spans="1:9" x14ac:dyDescent="0.3">
      <c r="A32" s="96"/>
      <c r="B32" s="97" t="s">
        <v>104</v>
      </c>
      <c r="C32" s="98"/>
      <c r="D32" s="98"/>
      <c r="E32" s="108">
        <f t="shared" si="1"/>
        <v>0</v>
      </c>
    </row>
    <row r="33" spans="1:5" x14ac:dyDescent="0.3">
      <c r="A33" s="96"/>
      <c r="B33" s="97" t="s">
        <v>105</v>
      </c>
      <c r="C33" s="98"/>
      <c r="D33" s="98"/>
      <c r="E33" s="108">
        <f t="shared" si="1"/>
        <v>0</v>
      </c>
    </row>
    <row r="34" spans="1:5" ht="14.55" thickBot="1" x14ac:dyDescent="0.35">
      <c r="A34" s="100"/>
      <c r="B34" s="101" t="s">
        <v>12</v>
      </c>
      <c r="C34" s="102"/>
      <c r="D34" s="102"/>
      <c r="E34" s="108">
        <f t="shared" si="1"/>
        <v>0</v>
      </c>
    </row>
    <row r="35" spans="1:5" ht="28.5" customHeight="1" x14ac:dyDescent="0.3">
      <c r="A35" s="103"/>
      <c r="B35" s="109" t="s">
        <v>61</v>
      </c>
      <c r="C35" s="105" t="s">
        <v>89</v>
      </c>
      <c r="D35" s="105" t="s">
        <v>90</v>
      </c>
      <c r="E35" s="106" t="s">
        <v>91</v>
      </c>
    </row>
    <row r="36" spans="1:5" x14ac:dyDescent="0.3">
      <c r="A36" s="96"/>
      <c r="B36" s="97" t="s">
        <v>92</v>
      </c>
      <c r="C36" s="98"/>
      <c r="D36" s="98"/>
      <c r="E36" s="108">
        <f>SUM(C36:D36)</f>
        <v>0</v>
      </c>
    </row>
    <row r="37" spans="1:5" x14ac:dyDescent="0.3">
      <c r="A37" s="96"/>
      <c r="B37" s="97" t="s">
        <v>93</v>
      </c>
      <c r="C37" s="98"/>
      <c r="D37" s="98"/>
      <c r="E37" s="108">
        <f t="shared" ref="E37:E50" si="2">SUM(C37:D37)</f>
        <v>0</v>
      </c>
    </row>
    <row r="38" spans="1:5" x14ac:dyDescent="0.3">
      <c r="A38" s="96"/>
      <c r="B38" s="97" t="s">
        <v>94</v>
      </c>
      <c r="C38" s="98"/>
      <c r="D38" s="98"/>
      <c r="E38" s="108">
        <f t="shared" si="2"/>
        <v>0</v>
      </c>
    </row>
    <row r="39" spans="1:5" x14ac:dyDescent="0.3">
      <c r="A39" s="96"/>
      <c r="B39" s="97" t="s">
        <v>95</v>
      </c>
      <c r="C39" s="98"/>
      <c r="D39" s="98"/>
      <c r="E39" s="108">
        <f t="shared" si="2"/>
        <v>0</v>
      </c>
    </row>
    <row r="40" spans="1:5" x14ac:dyDescent="0.3">
      <c r="A40" s="96"/>
      <c r="B40" s="97" t="s">
        <v>96</v>
      </c>
      <c r="C40" s="98"/>
      <c r="D40" s="98"/>
      <c r="E40" s="108">
        <f t="shared" si="2"/>
        <v>0</v>
      </c>
    </row>
    <row r="41" spans="1:5" x14ac:dyDescent="0.3">
      <c r="A41" s="96"/>
      <c r="B41" s="97" t="s">
        <v>97</v>
      </c>
      <c r="C41" s="98"/>
      <c r="D41" s="98"/>
      <c r="E41" s="108">
        <f t="shared" si="2"/>
        <v>0</v>
      </c>
    </row>
    <row r="42" spans="1:5" x14ac:dyDescent="0.3">
      <c r="A42" s="96"/>
      <c r="B42" s="97" t="s">
        <v>98</v>
      </c>
      <c r="C42" s="98"/>
      <c r="D42" s="98"/>
      <c r="E42" s="108">
        <f t="shared" si="2"/>
        <v>0</v>
      </c>
    </row>
    <row r="43" spans="1:5" x14ac:dyDescent="0.3">
      <c r="A43" s="96"/>
      <c r="B43" s="97" t="s">
        <v>99</v>
      </c>
      <c r="C43" s="98"/>
      <c r="D43" s="98"/>
      <c r="E43" s="108">
        <f t="shared" si="2"/>
        <v>0</v>
      </c>
    </row>
    <row r="44" spans="1:5" x14ac:dyDescent="0.3">
      <c r="A44" s="96"/>
      <c r="B44" s="97" t="s">
        <v>100</v>
      </c>
      <c r="C44" s="98"/>
      <c r="D44" s="98"/>
      <c r="E44" s="108">
        <f t="shared" si="2"/>
        <v>0</v>
      </c>
    </row>
    <row r="45" spans="1:5" x14ac:dyDescent="0.3">
      <c r="A45" s="96"/>
      <c r="B45" s="97" t="s">
        <v>101</v>
      </c>
      <c r="C45" s="98"/>
      <c r="D45" s="98"/>
      <c r="E45" s="108">
        <f t="shared" si="2"/>
        <v>0</v>
      </c>
    </row>
    <row r="46" spans="1:5" x14ac:dyDescent="0.3">
      <c r="A46" s="96"/>
      <c r="B46" s="97" t="s">
        <v>102</v>
      </c>
      <c r="C46" s="98"/>
      <c r="D46" s="98"/>
      <c r="E46" s="108">
        <f t="shared" si="2"/>
        <v>0</v>
      </c>
    </row>
    <row r="47" spans="1:5" x14ac:dyDescent="0.3">
      <c r="A47" s="96"/>
      <c r="B47" s="97" t="s">
        <v>103</v>
      </c>
      <c r="C47" s="98"/>
      <c r="D47" s="98"/>
      <c r="E47" s="108">
        <f t="shared" si="2"/>
        <v>0</v>
      </c>
    </row>
    <row r="48" spans="1:5" x14ac:dyDescent="0.3">
      <c r="A48" s="96"/>
      <c r="B48" s="97" t="s">
        <v>104</v>
      </c>
      <c r="C48" s="98"/>
      <c r="D48" s="98"/>
      <c r="E48" s="108">
        <f t="shared" si="2"/>
        <v>0</v>
      </c>
    </row>
    <row r="49" spans="1:5" x14ac:dyDescent="0.3">
      <c r="A49" s="96"/>
      <c r="B49" s="97" t="s">
        <v>105</v>
      </c>
      <c r="C49" s="98"/>
      <c r="D49" s="98"/>
      <c r="E49" s="108">
        <f t="shared" si="2"/>
        <v>0</v>
      </c>
    </row>
    <row r="50" spans="1:5" ht="14.55" thickBot="1" x14ac:dyDescent="0.35">
      <c r="A50" s="100"/>
      <c r="B50" s="101" t="s">
        <v>12</v>
      </c>
      <c r="C50" s="102"/>
      <c r="D50" s="102"/>
      <c r="E50" s="108">
        <f t="shared" si="2"/>
        <v>0</v>
      </c>
    </row>
    <row r="51" spans="1:5" ht="29.95" customHeight="1" x14ac:dyDescent="0.3">
      <c r="A51" s="103"/>
      <c r="B51" s="104" t="s">
        <v>61</v>
      </c>
      <c r="C51" s="105" t="s">
        <v>89</v>
      </c>
      <c r="D51" s="105" t="s">
        <v>90</v>
      </c>
      <c r="E51" s="106" t="s">
        <v>91</v>
      </c>
    </row>
    <row r="52" spans="1:5" x14ac:dyDescent="0.3">
      <c r="A52" s="96"/>
      <c r="B52" s="97" t="s">
        <v>92</v>
      </c>
      <c r="C52" s="98"/>
      <c r="D52" s="98"/>
      <c r="E52" s="108">
        <f>SUM(C52:D52)</f>
        <v>0</v>
      </c>
    </row>
    <row r="53" spans="1:5" x14ac:dyDescent="0.3">
      <c r="A53" s="96"/>
      <c r="B53" s="97" t="s">
        <v>93</v>
      </c>
      <c r="C53" s="98"/>
      <c r="D53" s="98"/>
      <c r="E53" s="108">
        <f t="shared" ref="E53:E66" si="3">SUM(C53:D53)</f>
        <v>0</v>
      </c>
    </row>
    <row r="54" spans="1:5" x14ac:dyDescent="0.3">
      <c r="A54" s="96"/>
      <c r="B54" s="97" t="s">
        <v>94</v>
      </c>
      <c r="C54" s="98"/>
      <c r="D54" s="98"/>
      <c r="E54" s="108">
        <f t="shared" si="3"/>
        <v>0</v>
      </c>
    </row>
    <row r="55" spans="1:5" x14ac:dyDescent="0.3">
      <c r="A55" s="96"/>
      <c r="B55" s="97" t="s">
        <v>95</v>
      </c>
      <c r="C55" s="98"/>
      <c r="D55" s="98"/>
      <c r="E55" s="108">
        <f t="shared" si="3"/>
        <v>0</v>
      </c>
    </row>
    <row r="56" spans="1:5" x14ac:dyDescent="0.3">
      <c r="A56" s="96"/>
      <c r="B56" s="97" t="s">
        <v>96</v>
      </c>
      <c r="C56" s="98"/>
      <c r="D56" s="98"/>
      <c r="E56" s="108">
        <f t="shared" si="3"/>
        <v>0</v>
      </c>
    </row>
    <row r="57" spans="1:5" x14ac:dyDescent="0.3">
      <c r="A57" s="96"/>
      <c r="B57" s="97" t="s">
        <v>97</v>
      </c>
      <c r="C57" s="98"/>
      <c r="D57" s="98"/>
      <c r="E57" s="108">
        <f t="shared" si="3"/>
        <v>0</v>
      </c>
    </row>
    <row r="58" spans="1:5" x14ac:dyDescent="0.3">
      <c r="A58" s="96"/>
      <c r="B58" s="97" t="s">
        <v>98</v>
      </c>
      <c r="C58" s="98"/>
      <c r="D58" s="98"/>
      <c r="E58" s="108">
        <f t="shared" si="3"/>
        <v>0</v>
      </c>
    </row>
    <row r="59" spans="1:5" x14ac:dyDescent="0.3">
      <c r="A59" s="96"/>
      <c r="B59" s="97" t="s">
        <v>99</v>
      </c>
      <c r="C59" s="98"/>
      <c r="D59" s="98"/>
      <c r="E59" s="108">
        <f t="shared" si="3"/>
        <v>0</v>
      </c>
    </row>
    <row r="60" spans="1:5" x14ac:dyDescent="0.3">
      <c r="A60" s="96"/>
      <c r="B60" s="97" t="s">
        <v>100</v>
      </c>
      <c r="C60" s="98"/>
      <c r="D60" s="98"/>
      <c r="E60" s="108">
        <f t="shared" si="3"/>
        <v>0</v>
      </c>
    </row>
    <row r="61" spans="1:5" x14ac:dyDescent="0.3">
      <c r="A61" s="96"/>
      <c r="B61" s="97" t="s">
        <v>101</v>
      </c>
      <c r="C61" s="98"/>
      <c r="D61" s="98"/>
      <c r="E61" s="108">
        <f t="shared" si="3"/>
        <v>0</v>
      </c>
    </row>
    <row r="62" spans="1:5" x14ac:dyDescent="0.3">
      <c r="A62" s="96"/>
      <c r="B62" s="97" t="s">
        <v>102</v>
      </c>
      <c r="C62" s="98"/>
      <c r="D62" s="98"/>
      <c r="E62" s="108">
        <f t="shared" si="3"/>
        <v>0</v>
      </c>
    </row>
    <row r="63" spans="1:5" x14ac:dyDescent="0.3">
      <c r="A63" s="96"/>
      <c r="B63" s="97" t="s">
        <v>103</v>
      </c>
      <c r="C63" s="98"/>
      <c r="D63" s="98"/>
      <c r="E63" s="108">
        <f t="shared" si="3"/>
        <v>0</v>
      </c>
    </row>
    <row r="64" spans="1:5" x14ac:dyDescent="0.3">
      <c r="A64" s="96"/>
      <c r="B64" s="97" t="s">
        <v>104</v>
      </c>
      <c r="C64" s="98"/>
      <c r="D64" s="98"/>
      <c r="E64" s="108">
        <f t="shared" si="3"/>
        <v>0</v>
      </c>
    </row>
    <row r="65" spans="1:5" x14ac:dyDescent="0.3">
      <c r="A65" s="96"/>
      <c r="B65" s="97" t="s">
        <v>105</v>
      </c>
      <c r="C65" s="98"/>
      <c r="D65" s="98"/>
      <c r="E65" s="108">
        <f t="shared" si="3"/>
        <v>0</v>
      </c>
    </row>
    <row r="66" spans="1:5" ht="14.55" thickBot="1" x14ac:dyDescent="0.35">
      <c r="A66" s="100"/>
      <c r="B66" s="101" t="s">
        <v>12</v>
      </c>
      <c r="C66" s="102"/>
      <c r="D66" s="102"/>
      <c r="E66" s="108">
        <f t="shared" si="3"/>
        <v>0</v>
      </c>
    </row>
    <row r="67" spans="1:5" ht="33.049999999999997" customHeight="1" thickBot="1" x14ac:dyDescent="0.35">
      <c r="A67" s="103"/>
      <c r="B67" s="110" t="s">
        <v>61</v>
      </c>
      <c r="C67" s="111" t="s">
        <v>89</v>
      </c>
      <c r="D67" s="111" t="s">
        <v>90</v>
      </c>
      <c r="E67" s="112" t="s">
        <v>91</v>
      </c>
    </row>
    <row r="68" spans="1:5" x14ac:dyDescent="0.3">
      <c r="A68" s="96"/>
      <c r="B68" s="113" t="s">
        <v>92</v>
      </c>
      <c r="C68" s="114"/>
      <c r="D68" s="114"/>
      <c r="E68" s="115">
        <f>SUM(C68:D68)</f>
        <v>0</v>
      </c>
    </row>
    <row r="69" spans="1:5" x14ac:dyDescent="0.3">
      <c r="A69" s="96"/>
      <c r="B69" s="97" t="s">
        <v>93</v>
      </c>
      <c r="C69" s="98"/>
      <c r="D69" s="98"/>
      <c r="E69" s="115">
        <f t="shared" ref="E69:E82" si="4">SUM(C69:D69)</f>
        <v>0</v>
      </c>
    </row>
    <row r="70" spans="1:5" x14ac:dyDescent="0.3">
      <c r="A70" s="96"/>
      <c r="B70" s="97" t="s">
        <v>94</v>
      </c>
      <c r="C70" s="98"/>
      <c r="D70" s="98"/>
      <c r="E70" s="115">
        <f t="shared" si="4"/>
        <v>0</v>
      </c>
    </row>
    <row r="71" spans="1:5" x14ac:dyDescent="0.3">
      <c r="A71" s="96"/>
      <c r="B71" s="97" t="s">
        <v>95</v>
      </c>
      <c r="C71" s="98"/>
      <c r="D71" s="98"/>
      <c r="E71" s="115">
        <f t="shared" si="4"/>
        <v>0</v>
      </c>
    </row>
    <row r="72" spans="1:5" x14ac:dyDescent="0.3">
      <c r="A72" s="96"/>
      <c r="B72" s="97" t="s">
        <v>96</v>
      </c>
      <c r="C72" s="98"/>
      <c r="D72" s="98"/>
      <c r="E72" s="115">
        <f t="shared" si="4"/>
        <v>0</v>
      </c>
    </row>
    <row r="73" spans="1:5" x14ac:dyDescent="0.3">
      <c r="A73" s="96"/>
      <c r="B73" s="97" t="s">
        <v>97</v>
      </c>
      <c r="C73" s="98"/>
      <c r="D73" s="98"/>
      <c r="E73" s="115">
        <f t="shared" si="4"/>
        <v>0</v>
      </c>
    </row>
    <row r="74" spans="1:5" x14ac:dyDescent="0.3">
      <c r="A74" s="96"/>
      <c r="B74" s="97" t="s">
        <v>98</v>
      </c>
      <c r="C74" s="98"/>
      <c r="D74" s="98"/>
      <c r="E74" s="115">
        <f t="shared" si="4"/>
        <v>0</v>
      </c>
    </row>
    <row r="75" spans="1:5" x14ac:dyDescent="0.3">
      <c r="A75" s="96"/>
      <c r="B75" s="97" t="s">
        <v>99</v>
      </c>
      <c r="C75" s="98"/>
      <c r="D75" s="98"/>
      <c r="E75" s="115">
        <f t="shared" si="4"/>
        <v>0</v>
      </c>
    </row>
    <row r="76" spans="1:5" x14ac:dyDescent="0.3">
      <c r="A76" s="96"/>
      <c r="B76" s="97" t="s">
        <v>100</v>
      </c>
      <c r="C76" s="98"/>
      <c r="D76" s="98"/>
      <c r="E76" s="115">
        <f t="shared" si="4"/>
        <v>0</v>
      </c>
    </row>
    <row r="77" spans="1:5" x14ac:dyDescent="0.3">
      <c r="A77" s="96"/>
      <c r="B77" s="97" t="s">
        <v>101</v>
      </c>
      <c r="C77" s="98"/>
      <c r="D77" s="98"/>
      <c r="E77" s="115">
        <f t="shared" si="4"/>
        <v>0</v>
      </c>
    </row>
    <row r="78" spans="1:5" x14ac:dyDescent="0.3">
      <c r="A78" s="96"/>
      <c r="B78" s="97" t="s">
        <v>102</v>
      </c>
      <c r="C78" s="98"/>
      <c r="D78" s="98"/>
      <c r="E78" s="115">
        <f t="shared" si="4"/>
        <v>0</v>
      </c>
    </row>
    <row r="79" spans="1:5" x14ac:dyDescent="0.3">
      <c r="A79" s="96"/>
      <c r="B79" s="97" t="s">
        <v>103</v>
      </c>
      <c r="C79" s="98"/>
      <c r="D79" s="98"/>
      <c r="E79" s="115">
        <f t="shared" si="4"/>
        <v>0</v>
      </c>
    </row>
    <row r="80" spans="1:5" x14ac:dyDescent="0.3">
      <c r="A80" s="96"/>
      <c r="B80" s="97" t="s">
        <v>104</v>
      </c>
      <c r="C80" s="98"/>
      <c r="D80" s="98"/>
      <c r="E80" s="115">
        <f t="shared" si="4"/>
        <v>0</v>
      </c>
    </row>
    <row r="81" spans="1:5" x14ac:dyDescent="0.3">
      <c r="A81" s="96"/>
      <c r="B81" s="97" t="s">
        <v>105</v>
      </c>
      <c r="C81" s="98"/>
      <c r="D81" s="98"/>
      <c r="E81" s="115">
        <f t="shared" si="4"/>
        <v>0</v>
      </c>
    </row>
    <row r="82" spans="1:5" ht="14.55" thickBot="1" x14ac:dyDescent="0.35">
      <c r="A82" s="100"/>
      <c r="B82" s="101" t="s">
        <v>12</v>
      </c>
      <c r="C82" s="102"/>
      <c r="D82" s="102"/>
      <c r="E82" s="115">
        <f t="shared" si="4"/>
        <v>0</v>
      </c>
    </row>
    <row r="83" spans="1:5" ht="26.1" customHeight="1" thickBot="1" x14ac:dyDescent="0.35">
      <c r="A83" s="86" t="str">
        <f>+A1</f>
        <v>Reporte diario de atencion a Clientes y Ventas OPTICA   DR STERLING</v>
      </c>
      <c r="B83" s="87"/>
      <c r="C83" s="87"/>
      <c r="D83" s="87"/>
      <c r="E83" s="88"/>
    </row>
    <row r="84" spans="1:5" ht="26.1" customHeight="1" thickBot="1" x14ac:dyDescent="0.35">
      <c r="A84" s="89" t="s">
        <v>59</v>
      </c>
      <c r="B84" s="90">
        <f>+B2</f>
        <v>45809</v>
      </c>
      <c r="C84" s="90"/>
      <c r="D84" s="90"/>
      <c r="E84" s="91"/>
    </row>
    <row r="85" spans="1:5" ht="28.5" thickBot="1" x14ac:dyDescent="0.35">
      <c r="A85" s="103" t="s">
        <v>83</v>
      </c>
      <c r="B85" s="110" t="s">
        <v>61</v>
      </c>
      <c r="C85" s="111" t="s">
        <v>89</v>
      </c>
      <c r="D85" s="111" t="s">
        <v>90</v>
      </c>
      <c r="E85" s="112" t="s">
        <v>91</v>
      </c>
    </row>
    <row r="86" spans="1:5" x14ac:dyDescent="0.3">
      <c r="A86" s="96"/>
      <c r="B86" s="113" t="s">
        <v>92</v>
      </c>
      <c r="C86" s="114">
        <f>+C4+C20+C36+C52+C68</f>
        <v>0</v>
      </c>
      <c r="D86" s="114">
        <f>+D4+D20+D36+D52+D68</f>
        <v>0</v>
      </c>
      <c r="E86" s="116">
        <f>+E4+E20+E36+E52+E68</f>
        <v>0</v>
      </c>
    </row>
    <row r="87" spans="1:5" x14ac:dyDescent="0.3">
      <c r="A87" s="96"/>
      <c r="B87" s="97" t="s">
        <v>93</v>
      </c>
      <c r="C87" s="114">
        <f t="shared" ref="C87:E100" si="5">+C5+C21+C37+C53+C69</f>
        <v>0</v>
      </c>
      <c r="D87" s="114">
        <f t="shared" si="5"/>
        <v>0</v>
      </c>
      <c r="E87" s="116">
        <f t="shared" si="5"/>
        <v>0</v>
      </c>
    </row>
    <row r="88" spans="1:5" x14ac:dyDescent="0.3">
      <c r="A88" s="96"/>
      <c r="B88" s="97" t="s">
        <v>94</v>
      </c>
      <c r="C88" s="114">
        <f t="shared" si="5"/>
        <v>0</v>
      </c>
      <c r="D88" s="114">
        <f t="shared" si="5"/>
        <v>0</v>
      </c>
      <c r="E88" s="116">
        <f t="shared" si="5"/>
        <v>0</v>
      </c>
    </row>
    <row r="89" spans="1:5" x14ac:dyDescent="0.3">
      <c r="A89" s="96"/>
      <c r="B89" s="97" t="s">
        <v>95</v>
      </c>
      <c r="C89" s="114">
        <f t="shared" si="5"/>
        <v>0</v>
      </c>
      <c r="D89" s="114">
        <f t="shared" si="5"/>
        <v>0</v>
      </c>
      <c r="E89" s="116">
        <f t="shared" si="5"/>
        <v>0</v>
      </c>
    </row>
    <row r="90" spans="1:5" x14ac:dyDescent="0.3">
      <c r="A90" s="96"/>
      <c r="B90" s="97" t="s">
        <v>96</v>
      </c>
      <c r="C90" s="114">
        <f t="shared" si="5"/>
        <v>0</v>
      </c>
      <c r="D90" s="114">
        <f t="shared" si="5"/>
        <v>0</v>
      </c>
      <c r="E90" s="116">
        <f t="shared" si="5"/>
        <v>0</v>
      </c>
    </row>
    <row r="91" spans="1:5" x14ac:dyDescent="0.3">
      <c r="A91" s="96"/>
      <c r="B91" s="97" t="s">
        <v>97</v>
      </c>
      <c r="C91" s="114">
        <f t="shared" si="5"/>
        <v>0</v>
      </c>
      <c r="D91" s="114">
        <f t="shared" si="5"/>
        <v>0</v>
      </c>
      <c r="E91" s="116">
        <f t="shared" si="5"/>
        <v>0</v>
      </c>
    </row>
    <row r="92" spans="1:5" x14ac:dyDescent="0.3">
      <c r="A92" s="96"/>
      <c r="B92" s="97" t="s">
        <v>98</v>
      </c>
      <c r="C92" s="114">
        <f t="shared" si="5"/>
        <v>0</v>
      </c>
      <c r="D92" s="114">
        <f t="shared" si="5"/>
        <v>0</v>
      </c>
      <c r="E92" s="116">
        <f t="shared" si="5"/>
        <v>0</v>
      </c>
    </row>
    <row r="93" spans="1:5" x14ac:dyDescent="0.3">
      <c r="A93" s="96"/>
      <c r="B93" s="97" t="s">
        <v>99</v>
      </c>
      <c r="C93" s="114">
        <f t="shared" si="5"/>
        <v>0</v>
      </c>
      <c r="D93" s="114">
        <f t="shared" si="5"/>
        <v>0</v>
      </c>
      <c r="E93" s="116">
        <f t="shared" si="5"/>
        <v>0</v>
      </c>
    </row>
    <row r="94" spans="1:5" x14ac:dyDescent="0.3">
      <c r="A94" s="96"/>
      <c r="B94" s="97" t="s">
        <v>100</v>
      </c>
      <c r="C94" s="114">
        <f t="shared" si="5"/>
        <v>0</v>
      </c>
      <c r="D94" s="114">
        <f t="shared" si="5"/>
        <v>0</v>
      </c>
      <c r="E94" s="116">
        <f t="shared" si="5"/>
        <v>0</v>
      </c>
    </row>
    <row r="95" spans="1:5" x14ac:dyDescent="0.3">
      <c r="A95" s="96"/>
      <c r="B95" s="97" t="s">
        <v>101</v>
      </c>
      <c r="C95" s="114">
        <f t="shared" si="5"/>
        <v>0</v>
      </c>
      <c r="D95" s="114">
        <f t="shared" si="5"/>
        <v>0</v>
      </c>
      <c r="E95" s="116">
        <f t="shared" si="5"/>
        <v>0</v>
      </c>
    </row>
    <row r="96" spans="1:5" x14ac:dyDescent="0.3">
      <c r="A96" s="96"/>
      <c r="B96" s="97" t="s">
        <v>102</v>
      </c>
      <c r="C96" s="114">
        <f t="shared" si="5"/>
        <v>0</v>
      </c>
      <c r="D96" s="114">
        <f t="shared" si="5"/>
        <v>0</v>
      </c>
      <c r="E96" s="116">
        <f t="shared" si="5"/>
        <v>0</v>
      </c>
    </row>
    <row r="97" spans="1:5" x14ac:dyDescent="0.3">
      <c r="A97" s="96"/>
      <c r="B97" s="97" t="s">
        <v>103</v>
      </c>
      <c r="C97" s="114">
        <f t="shared" si="5"/>
        <v>0</v>
      </c>
      <c r="D97" s="114">
        <f t="shared" si="5"/>
        <v>0</v>
      </c>
      <c r="E97" s="116">
        <f t="shared" si="5"/>
        <v>0</v>
      </c>
    </row>
    <row r="98" spans="1:5" x14ac:dyDescent="0.3">
      <c r="A98" s="96"/>
      <c r="B98" s="97" t="s">
        <v>104</v>
      </c>
      <c r="C98" s="114">
        <f t="shared" si="5"/>
        <v>0</v>
      </c>
      <c r="D98" s="114">
        <f t="shared" si="5"/>
        <v>0</v>
      </c>
      <c r="E98" s="116">
        <f t="shared" si="5"/>
        <v>0</v>
      </c>
    </row>
    <row r="99" spans="1:5" ht="15.05" customHeight="1" x14ac:dyDescent="0.3">
      <c r="A99" s="96"/>
      <c r="B99" s="97" t="s">
        <v>105</v>
      </c>
      <c r="C99" s="114">
        <f t="shared" si="5"/>
        <v>0</v>
      </c>
      <c r="D99" s="114">
        <f t="shared" si="5"/>
        <v>0</v>
      </c>
      <c r="E99" s="116">
        <f t="shared" si="5"/>
        <v>0</v>
      </c>
    </row>
    <row r="100" spans="1:5" ht="14.55" thickBot="1" x14ac:dyDescent="0.35">
      <c r="A100" s="100"/>
      <c r="B100" s="101" t="s">
        <v>12</v>
      </c>
      <c r="C100" s="117">
        <f t="shared" si="5"/>
        <v>0</v>
      </c>
      <c r="D100" s="117">
        <f t="shared" si="5"/>
        <v>0</v>
      </c>
      <c r="E100" s="118">
        <f t="shared" si="5"/>
        <v>0</v>
      </c>
    </row>
  </sheetData>
  <mergeCells count="10">
    <mergeCell ref="A67:A82"/>
    <mergeCell ref="A83:E83"/>
    <mergeCell ref="B84:E84"/>
    <mergeCell ref="A85:A100"/>
    <mergeCell ref="A1:E1"/>
    <mergeCell ref="B2:E2"/>
    <mergeCell ref="A3:A18"/>
    <mergeCell ref="A19:A34"/>
    <mergeCell ref="A35:A50"/>
    <mergeCell ref="A51:A66"/>
  </mergeCells>
  <pageMargins left="0.7" right="0.7" top="0.75" bottom="0.75" header="0.3" footer="0.3"/>
  <pageSetup paperSize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Cierre</vt:lpstr>
      <vt:lpstr>Conteo</vt:lpstr>
      <vt:lpstr>Hoja3</vt:lpstr>
      <vt:lpstr>1</vt:lpstr>
      <vt:lpstr>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2026-04-10T20:32:58Z</dcterms:created>
  <dcterms:modified xsi:type="dcterms:W3CDTF">2026-04-11T16:13:10Z</dcterms:modified>
</cp:coreProperties>
</file>